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11.xml" ContentType="application/vnd.openxmlformats-officedocument.spreadsheetml.worksheet+xml"/>
  <Override PartName="/xl/pivotTables/pivotTable2.xml" ContentType="application/vnd.openxmlformats-officedocument.spreadsheetml.pivotTable+xml"/>
  <Override PartName="/xl/pivotTables/pivotTable3.xml" ContentType="application/vnd.openxmlformats-officedocument.spreadsheetml.pivotTable+xml"/>
  <Override PartName="/xl/worksheets/sheet12.xml" ContentType="application/vnd.openxmlformats-officedocument.spreadsheetml.worksheet+xml"/>
  <Override PartName="/xl/drawings/drawing1.xml" ContentType="application/vnd.openxmlformats-officedocument.drawing+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4.xml" ContentType="application/vnd.openxmlformats-officedocument.spreadsheetml.pivotTable+xml"/>
  <Override PartName="/xl/worksheets/sheet13.xml" ContentType="application/vnd.openxmlformats-officedocument.spreadsheetml.worksheet+xml"/>
  <Override PartName="/xl/drawings/drawing2.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3080" yWindow="5745" windowWidth="29040" windowHeight="15840" tabRatio="600" firstSheet="8" activeTab="12" autoFilterDateGrouping="1"/>
  </bookViews>
  <sheets>
    <sheet xmlns:r="http://schemas.openxmlformats.org/officeDocument/2006/relationships" name="中 計 " sheetId="1" state="visible" r:id="rId1"/>
    <sheet xmlns:r="http://schemas.openxmlformats.org/officeDocument/2006/relationships" name="2025年度・上半期と下期 12月05日     " sheetId="2" state="visible" r:id="rId2"/>
    <sheet xmlns:r="http://schemas.openxmlformats.org/officeDocument/2006/relationships" name="2025年度・上半期と下期 11月07日    " sheetId="3" state="visible" r:id="rId3"/>
    <sheet xmlns:r="http://schemas.openxmlformats.org/officeDocument/2006/relationships" name="2025年度・上半期と下期 10月24日   " sheetId="4" state="visible" r:id="rId4"/>
    <sheet xmlns:r="http://schemas.openxmlformats.org/officeDocument/2006/relationships" name="2025年度・上半期と下期 10月03日  " sheetId="5" state="visible" r:id="rId5"/>
    <sheet xmlns:r="http://schemas.openxmlformats.org/officeDocument/2006/relationships" name="2025年度・上半期と下期 9月26日  " sheetId="6" state="visible" r:id="rId6"/>
    <sheet xmlns:r="http://schemas.openxmlformats.org/officeDocument/2006/relationships" name="2025年度・上半期と下期 ７月25日 " sheetId="7" state="visible" r:id="rId7"/>
    <sheet xmlns:r="http://schemas.openxmlformats.org/officeDocument/2006/relationships" name="2025年度・上半期と下期 ７月18日" sheetId="8" state="visible" r:id="rId8"/>
    <sheet xmlns:r="http://schemas.openxmlformats.org/officeDocument/2006/relationships" name="2025年度・上半期と下期" sheetId="9" state="visible" r:id="rId9"/>
    <sheet xmlns:r="http://schemas.openxmlformats.org/officeDocument/2006/relationships" name="Category" sheetId="10" state="visible" r:id="rId10"/>
    <sheet xmlns:r="http://schemas.openxmlformats.org/officeDocument/2006/relationships" name="all" sheetId="11" state="visible" r:id="rId11"/>
    <sheet xmlns:r="http://schemas.openxmlformats.org/officeDocument/2006/relationships" name="Raw Data" sheetId="12" state="visible" r:id="rId12"/>
    <sheet xmlns:r="http://schemas.openxmlformats.org/officeDocument/2006/relationships" name="DASHBOARD" sheetId="13" state="visible" r:id="rId13"/>
  </sheets>
  <definedNames>
    <definedName name="Slicer_Category">#N/A</definedName>
    <definedName name="Slicer_カテゴリ">#N/A</definedName>
    <definedName name="Slicer_サブカテゴリ">#N/A</definedName>
    <definedName name="_xlnm.Print_Area" localSheetId="1">'2025年度・上半期と下期 12月05日     '!$A$2:$AX$26</definedName>
    <definedName name="_xlnm.Print_Area" localSheetId="2">'2025年度・上半期と下期 11月07日    '!$A$2:$AX$25</definedName>
    <definedName name="_xlnm.Print_Area" localSheetId="3">'2025年度・上半期と下期 10月24日   '!$A$2:$AX$25</definedName>
    <definedName name="_xlnm.Print_Area" localSheetId="4">'2025年度・上半期と下期 10月03日  '!$A$2:$AX$25</definedName>
    <definedName name="_xlnm.Print_Area" localSheetId="5">'2025年度・上半期と下期 9月26日  '!$A$2:$AX$25</definedName>
    <definedName name="_xlnm.Print_Area" localSheetId="6">'2025年度・上半期と下期 ７月25日 '!$A$2:$AX$25</definedName>
    <definedName name="_xlnm.Print_Area" localSheetId="7">'2025年度・上半期と下期 ７月18日'!$A$2:$AX$25</definedName>
    <definedName name="_xlnm.Print_Area" localSheetId="8">'2025年度・上半期と下期'!$A$2:$AX$25</definedName>
  </definedNames>
  <calcPr calcId="191029" fullCalcOnLoad="1"/>
  <pivotCaches>
    <pivotCache xmlns:r="http://schemas.openxmlformats.org/officeDocument/2006/relationships" cacheId="16" r:id="rId14"/>
    <pivotCache xmlns:r="http://schemas.openxmlformats.org/officeDocument/2006/relationships" cacheId="17" r:id="rId15"/>
  </pivotCaches>
</workbook>
</file>

<file path=xl/styles.xml><?xml version="1.0" encoding="utf-8"?>
<styleSheet xmlns="http://schemas.openxmlformats.org/spreadsheetml/2006/main">
  <numFmts count="1">
    <numFmt numFmtId="164" formatCode="0.000%"/>
  </numFmts>
  <fonts count="27">
    <font>
      <name val="Calibri"/>
      <charset val="128"/>
      <family val="2"/>
      <color theme="1"/>
      <sz val="11"/>
      <scheme val="minor"/>
    </font>
    <font>
      <name val="Calibri"/>
      <charset val="128"/>
      <family val="3"/>
      <color theme="1"/>
      <sz val="11"/>
      <scheme val="minor"/>
    </font>
    <font>
      <name val="Calibri"/>
      <charset val="128"/>
      <family val="3"/>
      <color theme="1"/>
      <sz val="8"/>
      <scheme val="minor"/>
    </font>
    <font>
      <name val="Calibri"/>
      <charset val="128"/>
      <family val="3"/>
      <b val="1"/>
      <color theme="1"/>
      <sz val="11"/>
      <scheme val="minor"/>
    </font>
    <font>
      <name val="Calibri"/>
      <charset val="128"/>
      <family val="2"/>
      <color theme="1"/>
      <sz val="11"/>
      <scheme val="minor"/>
    </font>
    <font>
      <name val="メイリオ"/>
      <charset val="128"/>
      <family val="3"/>
      <b val="1"/>
      <color theme="1"/>
      <sz val="12"/>
    </font>
    <font>
      <name val="メイリオ"/>
      <charset val="128"/>
      <family val="3"/>
      <color theme="1"/>
      <sz val="14"/>
    </font>
    <font>
      <name val="メイリオ"/>
      <charset val="128"/>
      <family val="3"/>
      <color theme="1"/>
      <sz val="12"/>
    </font>
    <font>
      <name val="メイリオ"/>
      <charset val="128"/>
      <family val="3"/>
      <color theme="1"/>
      <sz val="11"/>
    </font>
    <font>
      <name val="メイリオ"/>
      <charset val="128"/>
      <family val="3"/>
      <color theme="1"/>
      <sz val="24"/>
    </font>
    <font>
      <name val="メイリオ"/>
      <charset val="128"/>
      <family val="3"/>
      <b val="1"/>
      <color theme="1"/>
      <sz val="24"/>
    </font>
    <font>
      <name val="メイリオ"/>
      <charset val="128"/>
      <family val="3"/>
      <color theme="0"/>
      <sz val="24"/>
    </font>
    <font>
      <name val="メイリオ"/>
      <charset val="128"/>
      <family val="3"/>
      <color theme="1"/>
      <sz val="18"/>
    </font>
    <font>
      <name val="メイリオ"/>
      <charset val="128"/>
      <family val="3"/>
      <color theme="1"/>
      <sz val="20"/>
    </font>
    <font>
      <name val="メイリオ"/>
      <charset val="128"/>
      <family val="3"/>
      <b val="1"/>
      <color theme="1"/>
      <sz val="20"/>
    </font>
    <font>
      <name val="メイリオ"/>
      <charset val="128"/>
      <family val="3"/>
      <color theme="1"/>
      <sz val="22"/>
    </font>
    <font>
      <name val="メイリオ"/>
      <charset val="128"/>
      <family val="3"/>
      <b val="1"/>
      <color theme="1"/>
      <sz val="22"/>
    </font>
    <font>
      <name val="メイリオ"/>
      <charset val="128"/>
      <family val="3"/>
      <color theme="1"/>
      <sz val="26"/>
    </font>
    <font>
      <name val="メイリオ"/>
      <charset val="128"/>
      <family val="3"/>
      <b val="1"/>
      <color theme="1"/>
      <sz val="26"/>
    </font>
    <font>
      <name val="メイリオ"/>
      <charset val="128"/>
      <family val="3"/>
      <b val="1"/>
      <sz val="24"/>
    </font>
    <font>
      <name val="メイリオ"/>
      <charset val="128"/>
      <family val="3"/>
      <color theme="1"/>
      <sz val="16"/>
    </font>
    <font>
      <name val="Calibri"/>
      <family val="2"/>
      <b val="1"/>
      <sz val="11"/>
    </font>
    <font>
      <name val="Calibri"/>
      <family val="2"/>
      <b val="1"/>
      <sz val="11"/>
    </font>
    <font>
      <name val="Calibri"/>
      <family val="2"/>
      <b val="1"/>
      <color theme="1"/>
      <sz val="11"/>
      <scheme val="minor"/>
    </font>
    <font>
      <name val="Calibri"/>
      <charset val="128"/>
      <family val="2"/>
      <color theme="0"/>
      <sz val="11"/>
      <scheme val="minor"/>
    </font>
    <font>
      <name val="Calibri"/>
      <family val="2"/>
      <b val="1"/>
      <color theme="1"/>
      <sz val="16"/>
      <scheme val="minor"/>
    </font>
    <font>
      <name val="Calibri"/>
      <family val="2"/>
      <b val="1"/>
      <color theme="1"/>
      <sz val="28"/>
      <scheme val="minor"/>
    </font>
  </fonts>
  <fills count="18">
    <fill>
      <patternFill/>
    </fill>
    <fill>
      <patternFill patternType="gray125"/>
    </fill>
    <fill>
      <patternFill patternType="solid">
        <fgColor theme="5" tint="0.7999816888943144"/>
        <bgColor indexed="64"/>
      </patternFill>
    </fill>
    <fill>
      <patternFill patternType="solid">
        <fgColor rgb="FFFFFF00"/>
        <bgColor indexed="64"/>
      </patternFill>
    </fill>
    <fill>
      <patternFill patternType="solid">
        <fgColor theme="7" tint="0.3999755851924192"/>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8"/>
        <bgColor indexed="64"/>
      </patternFill>
    </fill>
    <fill>
      <patternFill patternType="solid">
        <fgColor theme="6" tint="0.3999755851924192"/>
        <bgColor indexed="64"/>
      </patternFill>
    </fill>
    <fill>
      <patternFill patternType="solid">
        <fgColor theme="9" tint="0.5999938962981048"/>
        <bgColor indexed="64"/>
      </patternFill>
    </fill>
    <fill>
      <patternFill patternType="solid">
        <fgColor theme="0"/>
        <bgColor indexed="64"/>
      </patternFill>
    </fill>
    <fill>
      <patternFill patternType="solid">
        <fgColor theme="9" tint="0.7999816888943144"/>
        <bgColor indexed="64"/>
      </patternFill>
    </fill>
    <fill>
      <patternFill patternType="solid">
        <fgColor theme="7" tint="0.5999938962981048"/>
        <bgColor indexed="64"/>
      </patternFill>
    </fill>
    <fill>
      <patternFill patternType="solid">
        <fgColor theme="3" tint="0.7999816888943144"/>
        <bgColor indexed="64"/>
      </patternFill>
    </fill>
    <fill>
      <patternFill patternType="solid">
        <fgColor theme="8" tint="0.5999938962981048"/>
        <bgColor indexed="64"/>
      </patternFill>
    </fill>
    <fill>
      <patternFill patternType="solid">
        <fgColor theme="1"/>
        <bgColor indexed="64"/>
      </patternFill>
    </fill>
    <fill>
      <patternFill patternType="solid">
        <fgColor theme="2" tint="-0.499984740745262"/>
        <bgColor indexed="64"/>
      </patternFill>
    </fill>
    <fill>
      <patternFill patternType="solid">
        <fgColor rgb="FFFFF2CC"/>
        <bgColor rgb="FFFFF2CC"/>
      </patternFill>
    </fill>
  </fills>
  <borders count="7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hair">
        <color auto="1"/>
      </left>
      <right style="hair">
        <color auto="1"/>
      </right>
      <top style="thin">
        <color auto="1"/>
      </top>
      <bottom style="thin">
        <color auto="1"/>
      </bottom>
      <diagonal/>
    </border>
    <border>
      <left style="thin">
        <color auto="1"/>
      </left>
      <right style="hair">
        <color auto="1"/>
      </right>
      <top style="thin">
        <color auto="1"/>
      </top>
      <bottom style="thin">
        <color auto="1"/>
      </bottom>
      <diagonal/>
    </border>
    <border>
      <left style="thin">
        <color auto="1"/>
      </left>
      <right style="thin">
        <color auto="1"/>
      </right>
      <top/>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thin">
        <color auto="1"/>
      </top>
      <bottom style="hair">
        <color auto="1"/>
      </bottom>
      <diagonal/>
    </border>
    <border>
      <left style="thin">
        <color auto="1"/>
      </left>
      <right style="hair">
        <color auto="1"/>
      </right>
      <top style="thin">
        <color auto="1"/>
      </top>
      <bottom style="hair">
        <color auto="1"/>
      </bottom>
      <diagonal/>
    </border>
    <border>
      <left style="hair">
        <color auto="1"/>
      </left>
      <right style="thin">
        <color auto="1"/>
      </right>
      <top style="hair">
        <color auto="1"/>
      </top>
      <bottom style="thin">
        <color auto="1"/>
      </bottom>
      <diagonal/>
    </border>
    <border>
      <left style="hair">
        <color auto="1"/>
      </left>
      <right style="hair">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hair">
        <color auto="1"/>
      </bottom>
      <diagonal/>
    </border>
    <border>
      <left style="hair">
        <color auto="1"/>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style="thick">
        <color auto="1"/>
      </left>
      <right/>
      <top/>
      <bottom/>
      <diagonal/>
    </border>
    <border>
      <left style="thick">
        <color auto="1"/>
      </left>
      <right style="thin">
        <color indexed="64"/>
      </right>
      <top style="thin">
        <color indexed="64"/>
      </top>
      <bottom style="thin">
        <color indexed="64"/>
      </bottom>
      <diagonal/>
    </border>
    <border>
      <left style="thick">
        <color auto="1"/>
      </left>
      <right style="thin">
        <color indexed="64"/>
      </right>
      <top/>
      <bottom/>
      <diagonal/>
    </border>
    <border>
      <left style="thick">
        <color auto="1"/>
      </left>
      <right style="thin">
        <color indexed="64"/>
      </right>
      <top/>
      <bottom style="thin">
        <color indexed="64"/>
      </bottom>
      <diagonal/>
    </border>
    <border>
      <left style="thick">
        <color auto="1"/>
      </left>
      <right/>
      <top style="thin">
        <color indexed="64"/>
      </top>
      <bottom style="thin">
        <color indexed="64"/>
      </bottom>
      <diagonal/>
    </border>
    <border>
      <left style="hair">
        <color auto="1"/>
      </left>
      <right style="hair">
        <color auto="1"/>
      </right>
      <top style="hair">
        <color auto="1"/>
      </top>
      <bottom/>
      <diagonal/>
    </border>
    <border>
      <left style="hair">
        <color auto="1"/>
      </left>
      <right/>
      <top style="thin">
        <color auto="1"/>
      </top>
      <bottom style="hair">
        <color auto="1"/>
      </bottom>
      <diagonal/>
    </border>
    <border>
      <left style="hair">
        <color auto="1"/>
      </left>
      <right/>
      <top style="hair">
        <color auto="1"/>
      </top>
      <bottom style="thin">
        <color auto="1"/>
      </bottom>
      <diagonal/>
    </border>
    <border>
      <left/>
      <right style="hair">
        <color auto="1"/>
      </right>
      <top style="thin">
        <color auto="1"/>
      </top>
      <bottom style="thin">
        <color auto="1"/>
      </bottom>
      <diagonal/>
    </border>
    <border>
      <left/>
      <right style="hair">
        <color auto="1"/>
      </right>
      <top style="thin">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diagonal/>
    </border>
    <border>
      <left/>
      <right style="hair">
        <color auto="1"/>
      </right>
      <top style="hair">
        <color auto="1"/>
      </top>
      <bottom style="thin">
        <color auto="1"/>
      </bottom>
      <diagonal/>
    </border>
    <border>
      <left style="medium">
        <color indexed="64"/>
      </left>
      <right style="hair">
        <color auto="1"/>
      </right>
      <top style="thin">
        <color auto="1"/>
      </top>
      <bottom style="hair">
        <color auto="1"/>
      </bottom>
      <diagonal/>
    </border>
    <border>
      <left style="hair">
        <color auto="1"/>
      </left>
      <right style="medium">
        <color indexed="64"/>
      </right>
      <top style="thin">
        <color auto="1"/>
      </top>
      <bottom style="hair">
        <color auto="1"/>
      </bottom>
      <diagonal/>
    </border>
    <border>
      <left style="medium">
        <color indexed="64"/>
      </left>
      <right style="hair">
        <color auto="1"/>
      </right>
      <top style="hair">
        <color auto="1"/>
      </top>
      <bottom style="hair">
        <color auto="1"/>
      </bottom>
      <diagonal/>
    </border>
    <border>
      <left style="medium">
        <color indexed="64"/>
      </left>
      <right style="hair">
        <color auto="1"/>
      </right>
      <top style="hair">
        <color auto="1"/>
      </top>
      <bottom/>
      <diagonal/>
    </border>
    <border>
      <left style="medium">
        <color indexed="64"/>
      </left>
      <right style="hair">
        <color auto="1"/>
      </right>
      <top style="hair">
        <color auto="1"/>
      </top>
      <bottom style="thin">
        <color auto="1"/>
      </bottom>
      <diagonal/>
    </border>
    <border>
      <left style="hair">
        <color auto="1"/>
      </left>
      <right style="medium">
        <color indexed="64"/>
      </right>
      <top style="hair">
        <color auto="1"/>
      </top>
      <bottom style="thin">
        <color auto="1"/>
      </bottom>
      <diagonal/>
    </border>
    <border>
      <left/>
      <right/>
      <top style="hair">
        <color auto="1"/>
      </top>
      <bottom/>
      <diagonal/>
    </border>
    <border>
      <left style="thin">
        <color auto="1"/>
      </left>
      <right style="hair">
        <color auto="1"/>
      </right>
      <top style="hair">
        <color auto="1"/>
      </top>
      <bottom/>
      <diagonal/>
    </border>
    <border>
      <left style="hair">
        <color indexed="64"/>
      </left>
      <right style="hair">
        <color indexed="64"/>
      </right>
      <top/>
      <bottom style="hair">
        <color indexed="64"/>
      </bottom>
      <diagonal/>
    </border>
    <border>
      <left/>
      <right style="medium">
        <color indexed="64"/>
      </right>
      <top style="hair">
        <color auto="1"/>
      </top>
      <bottom style="hair">
        <color auto="1"/>
      </bottom>
      <diagonal/>
    </border>
    <border>
      <left/>
      <right style="medium">
        <color indexed="64"/>
      </right>
      <top style="thin">
        <color auto="1"/>
      </top>
      <bottom style="thin">
        <color auto="1"/>
      </bottom>
      <diagonal/>
    </border>
    <border>
      <left style="hair">
        <color indexed="64"/>
      </left>
      <right style="hair">
        <color indexed="64"/>
      </right>
      <top/>
      <bottom style="thin">
        <color indexed="64"/>
      </bottom>
      <diagonal/>
    </border>
    <border>
      <left/>
      <right style="medium">
        <color indexed="64"/>
      </right>
      <top style="hair">
        <color auto="1"/>
      </top>
      <bottom style="thin">
        <color auto="1"/>
      </bottom>
      <diagonal/>
    </border>
    <border>
      <left style="medium">
        <color indexed="64"/>
      </left>
      <right style="hair">
        <color auto="1"/>
      </right>
      <top/>
      <bottom style="thin">
        <color auto="1"/>
      </bottom>
      <diagonal/>
    </border>
    <border>
      <left/>
      <right/>
      <top style="thin">
        <color auto="1"/>
      </top>
      <bottom style="thin">
        <color auto="1"/>
      </bottom>
      <diagonal/>
    </border>
    <border>
      <left style="medium">
        <color indexed="64"/>
      </left>
      <right style="hair">
        <color indexed="64"/>
      </right>
      <top style="thin">
        <color auto="1"/>
      </top>
      <bottom style="thin">
        <color auto="1"/>
      </bottom>
      <diagonal/>
    </border>
    <border>
      <left style="hair">
        <color indexed="64"/>
      </left>
      <right style="medium">
        <color indexed="64"/>
      </right>
      <top style="thin">
        <color auto="1"/>
      </top>
      <bottom style="thin">
        <color auto="1"/>
      </bottom>
      <diagonal/>
    </border>
    <border>
      <left/>
      <right/>
      <top style="hair">
        <color auto="1"/>
      </top>
      <bottom style="thin">
        <color indexed="64"/>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hair">
        <color auto="1"/>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style="hair">
        <color auto="1"/>
      </right>
      <top style="hair">
        <color auto="1"/>
      </top>
      <bottom style="medium">
        <color indexed="64"/>
      </bottom>
      <diagonal/>
    </border>
    <border>
      <left style="medium">
        <color indexed="64"/>
      </left>
      <right style="medium">
        <color indexed="64"/>
      </right>
      <top style="thin">
        <color auto="1"/>
      </top>
      <bottom style="thin">
        <color auto="1"/>
      </bottom>
      <diagonal/>
    </border>
    <border>
      <left style="hair">
        <color auto="1"/>
      </left>
      <right style="hair">
        <color auto="1"/>
      </right>
      <top/>
      <bottom/>
      <diagonal/>
    </border>
    <border>
      <left style="hair">
        <color auto="1"/>
      </left>
      <right/>
      <top/>
      <bottom/>
      <diagonal/>
    </border>
    <border>
      <left style="medium">
        <color indexed="64"/>
      </left>
      <right style="hair">
        <color auto="1"/>
      </right>
      <top/>
      <bottom/>
      <diagonal/>
    </border>
    <border>
      <left/>
      <right style="hair">
        <color auto="1"/>
      </right>
      <top/>
      <bottom/>
      <diagonal/>
    </border>
    <border>
      <left/>
      <right/>
      <top style="thin">
        <color auto="1"/>
      </top>
      <bottom/>
      <diagonal/>
    </border>
    <border>
      <left/>
      <right style="medium">
        <color indexed="64"/>
      </right>
      <top/>
      <bottom style="thin">
        <color auto="1"/>
      </bottom>
      <diagonal/>
    </border>
    <border>
      <left/>
      <right style="medium">
        <color indexed="64"/>
      </right>
      <top/>
      <bottom style="hair">
        <color auto="1"/>
      </bottom>
      <diagonal/>
    </border>
    <border>
      <left style="hair">
        <color auto="1"/>
      </left>
      <right style="thin">
        <color auto="1"/>
      </right>
      <top/>
      <bottom style="hair">
        <color auto="1"/>
      </bottom>
      <diagonal/>
    </border>
    <border>
      <left style="medium">
        <color indexed="64"/>
      </left>
      <right style="medium">
        <color indexed="64"/>
      </right>
      <top style="medium">
        <color indexed="64"/>
      </top>
      <bottom style="thin">
        <color auto="1"/>
      </bottom>
      <diagonal/>
    </border>
    <border>
      <left/>
      <right/>
      <top style="hair">
        <color auto="1"/>
      </top>
      <bottom style="hair">
        <color auto="1"/>
      </bottom>
      <diagonal/>
    </border>
    <border>
      <left/>
      <right/>
      <top style="thin">
        <color auto="1"/>
      </top>
      <bottom style="hair">
        <color auto="1"/>
      </bottom>
      <diagonal/>
    </border>
    <border>
      <left style="thin">
        <color auto="1"/>
      </left>
      <right style="medium">
        <color indexed="64"/>
      </right>
      <top style="thin">
        <color auto="1"/>
      </top>
      <bottom style="thin">
        <color auto="1"/>
      </bottom>
      <diagonal/>
    </border>
    <border>
      <left/>
      <right/>
      <top style="hair">
        <color auto="1"/>
      </top>
      <bottom style="thin">
        <color auto="1"/>
      </bottom>
      <diagonal/>
    </border>
    <border>
      <left style="thin">
        <color auto="1"/>
      </left>
      <right style="thin">
        <color auto="1"/>
      </right>
      <top style="thin">
        <color auto="1"/>
      </top>
      <bottom style="thin">
        <color auto="1"/>
      </bottom>
      <diagonal/>
    </border>
    <border>
      <left/>
      <right style="hair">
        <color auto="1"/>
      </right>
      <top style="thin">
        <color auto="1"/>
      </top>
      <bottom/>
      <diagonal/>
    </border>
    <border>
      <left/>
      <right style="medium">
        <color indexed="64"/>
      </right>
      <top style="thin">
        <color auto="1"/>
      </top>
      <bottom/>
      <diagonal/>
    </border>
    <border>
      <left/>
      <right/>
      <top style="medium">
        <color indexed="64"/>
      </top>
      <bottom/>
      <diagonal/>
    </border>
    <border>
      <left/>
      <right style="medium">
        <color indexed="64"/>
      </right>
      <top style="medium">
        <color indexed="64"/>
      </top>
      <bottom/>
      <diagonal/>
    </border>
  </borders>
  <cellStyleXfs count="5">
    <xf numFmtId="0" fontId="4" fillId="0" borderId="0" applyAlignment="1">
      <alignment vertical="center"/>
    </xf>
    <xf numFmtId="0" fontId="1" fillId="0" borderId="0" applyAlignment="1">
      <alignment vertical="center"/>
    </xf>
    <xf numFmtId="38" fontId="1" fillId="0" borderId="0" applyAlignment="1">
      <alignment vertical="center"/>
    </xf>
    <xf numFmtId="38" fontId="4" fillId="0" borderId="0" applyAlignment="1">
      <alignment vertical="center"/>
    </xf>
    <xf numFmtId="9" fontId="4" fillId="0" borderId="0" applyAlignment="1">
      <alignment vertical="center"/>
    </xf>
  </cellStyleXfs>
  <cellXfs count="252">
    <xf numFmtId="0" fontId="0" fillId="0" borderId="0" applyAlignment="1" pivotButton="0" quotePrefix="0" xfId="0">
      <alignment vertical="center"/>
    </xf>
    <xf numFmtId="0" fontId="2" fillId="0" borderId="0" applyAlignment="1" pivotButton="0" quotePrefix="0" xfId="0">
      <alignment vertical="center"/>
    </xf>
    <xf numFmtId="0" fontId="0" fillId="0" borderId="20" applyAlignment="1" pivotButton="0" quotePrefix="0" xfId="0">
      <alignment vertical="center"/>
    </xf>
    <xf numFmtId="0" fontId="0" fillId="0" borderId="1" applyAlignment="1" pivotButton="0" quotePrefix="0" xfId="0">
      <alignment vertical="center"/>
    </xf>
    <xf numFmtId="0" fontId="0" fillId="0" borderId="2" applyAlignment="1" pivotButton="0" quotePrefix="0" xfId="0">
      <alignment vertical="center"/>
    </xf>
    <xf numFmtId="0" fontId="0" fillId="0" borderId="21" applyAlignment="1" pivotButton="0" quotePrefix="0" xfId="0">
      <alignment vertical="center"/>
    </xf>
    <xf numFmtId="38" fontId="3" fillId="3" borderId="1" applyAlignment="1" pivotButton="0" quotePrefix="0" xfId="0">
      <alignment vertical="center"/>
    </xf>
    <xf numFmtId="38" fontId="0" fillId="3" borderId="1" applyAlignment="1" pivotButton="0" quotePrefix="0" xfId="0">
      <alignment vertical="center"/>
    </xf>
    <xf numFmtId="38" fontId="0" fillId="3" borderId="2" applyAlignment="1" pivotButton="0" quotePrefix="0" xfId="0">
      <alignment vertical="center"/>
    </xf>
    <xf numFmtId="38" fontId="0" fillId="3" borderId="21" applyAlignment="1" pivotButton="0" quotePrefix="0" xfId="0">
      <alignment vertical="center"/>
    </xf>
    <xf numFmtId="38" fontId="0" fillId="0" borderId="0" applyAlignment="1" pivotButton="0" quotePrefix="0" xfId="0">
      <alignment vertical="center"/>
    </xf>
    <xf numFmtId="0" fontId="0" fillId="5" borderId="1" applyAlignment="1" pivotButton="0" quotePrefix="0" xfId="0">
      <alignment vertical="center"/>
    </xf>
    <xf numFmtId="10" fontId="0" fillId="5" borderId="1" applyAlignment="1" pivotButton="0" quotePrefix="0" xfId="0">
      <alignment vertical="center"/>
    </xf>
    <xf numFmtId="10" fontId="0" fillId="5" borderId="2" applyAlignment="1" pivotButton="0" quotePrefix="0" xfId="0">
      <alignment vertical="center"/>
    </xf>
    <xf numFmtId="10" fontId="0" fillId="5" borderId="21" applyAlignment="1" pivotButton="0" quotePrefix="0" xfId="0">
      <alignment vertical="center"/>
    </xf>
    <xf numFmtId="3" fontId="0" fillId="5" borderId="1" applyAlignment="1" pivotButton="0" quotePrefix="0" xfId="0">
      <alignment vertical="center"/>
    </xf>
    <xf numFmtId="3" fontId="0" fillId="7" borderId="1" applyAlignment="1" pivotButton="0" quotePrefix="0" xfId="0">
      <alignment vertical="center"/>
    </xf>
    <xf numFmtId="3" fontId="0" fillId="5" borderId="2" applyAlignment="1" pivotButton="0" quotePrefix="0" xfId="0">
      <alignment vertical="center"/>
    </xf>
    <xf numFmtId="3" fontId="0" fillId="5" borderId="21" applyAlignment="1" pivotButton="0" quotePrefix="0" xfId="0">
      <alignment vertical="center"/>
    </xf>
    <xf numFmtId="3" fontId="0" fillId="0" borderId="0" applyAlignment="1" pivotButton="0" quotePrefix="0" xfId="0">
      <alignment vertical="center"/>
    </xf>
    <xf numFmtId="0" fontId="0" fillId="8" borderId="1" applyAlignment="1" pivotButton="0" quotePrefix="0" xfId="0">
      <alignment vertical="center"/>
    </xf>
    <xf numFmtId="10" fontId="0" fillId="8" borderId="1" applyAlignment="1" pivotButton="0" quotePrefix="0" xfId="0">
      <alignment vertical="center"/>
    </xf>
    <xf numFmtId="10" fontId="0" fillId="8" borderId="2" applyAlignment="1" pivotButton="0" quotePrefix="0" xfId="0">
      <alignment vertical="center"/>
    </xf>
    <xf numFmtId="10" fontId="0" fillId="8" borderId="21" applyAlignment="1" pivotButton="0" quotePrefix="0" xfId="0">
      <alignment vertical="center"/>
    </xf>
    <xf numFmtId="0" fontId="0" fillId="6" borderId="1" applyAlignment="1" pivotButton="0" quotePrefix="0" xfId="0">
      <alignment vertical="center"/>
    </xf>
    <xf numFmtId="10" fontId="0" fillId="6" borderId="1" applyAlignment="1" pivotButton="0" quotePrefix="0" xfId="0">
      <alignment vertical="center"/>
    </xf>
    <xf numFmtId="10" fontId="0" fillId="6" borderId="2" applyAlignment="1" pivotButton="0" quotePrefix="0" xfId="0">
      <alignment vertical="center"/>
    </xf>
    <xf numFmtId="10" fontId="0" fillId="6" borderId="21" applyAlignment="1" pivotButton="0" quotePrefix="0" xfId="0">
      <alignment vertical="center"/>
    </xf>
    <xf numFmtId="3" fontId="0" fillId="6" borderId="1" applyAlignment="1" pivotButton="0" quotePrefix="0" xfId="0">
      <alignment vertical="center"/>
    </xf>
    <xf numFmtId="3" fontId="0" fillId="6" borderId="2" applyAlignment="1" pivotButton="0" quotePrefix="0" xfId="0">
      <alignment vertical="center"/>
    </xf>
    <xf numFmtId="3" fontId="0" fillId="6" borderId="24" applyAlignment="1" pivotButton="0" quotePrefix="0" xfId="0">
      <alignment vertical="center"/>
    </xf>
    <xf numFmtId="0" fontId="0" fillId="9" borderId="1" applyAlignment="1" pivotButton="0" quotePrefix="0" xfId="0">
      <alignment vertical="center"/>
    </xf>
    <xf numFmtId="10" fontId="0" fillId="9" borderId="1" applyAlignment="1" pivotButton="0" quotePrefix="0" xfId="0">
      <alignment vertical="center"/>
    </xf>
    <xf numFmtId="10" fontId="0" fillId="9" borderId="2" applyAlignment="1" pivotButton="0" quotePrefix="0" xfId="0">
      <alignment vertical="center"/>
    </xf>
    <xf numFmtId="10" fontId="0" fillId="9" borderId="21" applyAlignment="1" pivotButton="0" quotePrefix="0" xfId="0">
      <alignment vertical="center"/>
    </xf>
    <xf numFmtId="3" fontId="0" fillId="9" borderId="1" applyAlignment="1" pivotButton="0" quotePrefix="0" xfId="0">
      <alignment vertical="center"/>
    </xf>
    <xf numFmtId="3" fontId="0" fillId="9" borderId="2" applyAlignment="1" pivotButton="0" quotePrefix="0" xfId="0">
      <alignment vertical="center"/>
    </xf>
    <xf numFmtId="3" fontId="0" fillId="9" borderId="21" applyAlignment="1" pivotButton="0" quotePrefix="0" xfId="0">
      <alignment vertical="center"/>
    </xf>
    <xf numFmtId="0" fontId="0" fillId="2" borderId="1" applyAlignment="1" pivotButton="0" quotePrefix="0" xfId="0">
      <alignment vertical="center"/>
    </xf>
    <xf numFmtId="10" fontId="0" fillId="2" borderId="1" applyAlignment="1" pivotButton="0" quotePrefix="0" xfId="0">
      <alignment vertical="center"/>
    </xf>
    <xf numFmtId="10" fontId="0" fillId="2" borderId="2" applyAlignment="1" pivotButton="0" quotePrefix="0" xfId="0">
      <alignment vertical="center"/>
    </xf>
    <xf numFmtId="10" fontId="0" fillId="2" borderId="21" applyAlignment="1" pivotButton="0" quotePrefix="0" xfId="0">
      <alignment vertical="center"/>
    </xf>
    <xf numFmtId="3" fontId="0" fillId="2" borderId="1" applyAlignment="1" pivotButton="0" quotePrefix="0" xfId="0">
      <alignment vertical="center"/>
    </xf>
    <xf numFmtId="3" fontId="0" fillId="2" borderId="2" applyAlignment="1" pivotButton="0" quotePrefix="0" xfId="0">
      <alignment vertical="center"/>
    </xf>
    <xf numFmtId="3" fontId="0" fillId="2" borderId="21" applyAlignment="1" pivotButton="0" quotePrefix="0" xfId="0">
      <alignment vertical="center"/>
    </xf>
    <xf numFmtId="0" fontId="0" fillId="4" borderId="1" applyAlignment="1" pivotButton="0" quotePrefix="0" xfId="0">
      <alignment vertical="center"/>
    </xf>
    <xf numFmtId="10" fontId="0" fillId="4" borderId="1" applyAlignment="1" pivotButton="0" quotePrefix="0" xfId="0">
      <alignment vertical="center"/>
    </xf>
    <xf numFmtId="10" fontId="0" fillId="4" borderId="2" applyAlignment="1" pivotButton="0" quotePrefix="0" xfId="0">
      <alignment vertical="center"/>
    </xf>
    <xf numFmtId="10" fontId="0" fillId="4" borderId="21" applyAlignment="1" pivotButton="0" quotePrefix="0" xfId="0">
      <alignment vertical="center"/>
    </xf>
    <xf numFmtId="3" fontId="0" fillId="4" borderId="1" applyAlignment="1" pivotButton="0" quotePrefix="0" xfId="0">
      <alignment vertical="center"/>
    </xf>
    <xf numFmtId="3" fontId="0" fillId="4" borderId="2" applyAlignment="1" pivotButton="0" quotePrefix="0" xfId="0">
      <alignment vertical="center"/>
    </xf>
    <xf numFmtId="3" fontId="0" fillId="4" borderId="21" applyAlignment="1" pivotButton="0" quotePrefix="0" xfId="0">
      <alignment vertical="center"/>
    </xf>
    <xf numFmtId="164" fontId="0" fillId="0" borderId="0" applyAlignment="1" pivotButton="0" quotePrefix="0" xfId="0">
      <alignment vertical="center"/>
    </xf>
    <xf numFmtId="164" fontId="0" fillId="0" borderId="20" applyAlignment="1" pivotButton="0" quotePrefix="0" xfId="0">
      <alignment vertical="center"/>
    </xf>
    <xf numFmtId="0" fontId="5" fillId="0" borderId="0" applyAlignment="1" pivotButton="0" quotePrefix="0" xfId="1">
      <alignment horizontal="center" vertical="center"/>
    </xf>
    <xf numFmtId="0" fontId="6" fillId="0" borderId="19" applyAlignment="1" pivotButton="0" quotePrefix="0" xfId="1">
      <alignment vertical="center"/>
    </xf>
    <xf numFmtId="0" fontId="6" fillId="0" borderId="0" applyAlignment="1" pivotButton="0" quotePrefix="0" xfId="1">
      <alignment vertical="center"/>
    </xf>
    <xf numFmtId="0" fontId="6" fillId="0" borderId="0" applyAlignment="1" pivotButton="0" quotePrefix="0" xfId="1">
      <alignment horizontal="center" vertical="center"/>
    </xf>
    <xf numFmtId="0" fontId="7" fillId="0" borderId="0" applyAlignment="1" pivotButton="0" quotePrefix="0" xfId="1">
      <alignment vertical="center"/>
    </xf>
    <xf numFmtId="0" fontId="8" fillId="0" borderId="0" applyAlignment="1" pivotButton="0" quotePrefix="0" xfId="1">
      <alignment vertical="center"/>
    </xf>
    <xf numFmtId="0" fontId="9" fillId="0" borderId="0" applyAlignment="1" pivotButton="0" quotePrefix="0" xfId="1">
      <alignment horizontal="center" vertical="center"/>
    </xf>
    <xf numFmtId="0" fontId="9" fillId="0" borderId="0" applyAlignment="1" pivotButton="0" quotePrefix="0" xfId="1">
      <alignment horizontal="right" vertical="center"/>
    </xf>
    <xf numFmtId="14" fontId="9" fillId="0" borderId="0" applyAlignment="1" pivotButton="0" quotePrefix="0" xfId="1">
      <alignment vertical="center"/>
    </xf>
    <xf numFmtId="0" fontId="9" fillId="0" borderId="0" applyAlignment="1" pivotButton="0" quotePrefix="0" xfId="1">
      <alignment vertical="center"/>
    </xf>
    <xf numFmtId="0" fontId="10" fillId="0" borderId="0" applyAlignment="1" pivotButton="0" quotePrefix="0" xfId="1">
      <alignment horizontal="center" vertical="center"/>
    </xf>
    <xf numFmtId="0" fontId="7" fillId="0" borderId="0" applyAlignment="1" pivotButton="0" quotePrefix="0" xfId="1">
      <alignment horizontal="center" vertical="center"/>
    </xf>
    <xf numFmtId="0" fontId="6" fillId="0" borderId="18" applyAlignment="1" pivotButton="0" quotePrefix="0" xfId="1">
      <alignment horizontal="center" vertical="center"/>
    </xf>
    <xf numFmtId="38" fontId="13" fillId="0" borderId="7" applyAlignment="1" pivotButton="0" quotePrefix="0" xfId="3">
      <alignment horizontal="center" vertical="center"/>
    </xf>
    <xf numFmtId="38" fontId="13" fillId="6" borderId="9" applyAlignment="1" pivotButton="0" quotePrefix="0" xfId="3">
      <alignment horizontal="center" vertical="center"/>
    </xf>
    <xf numFmtId="38" fontId="14" fillId="0" borderId="7" applyAlignment="1" pivotButton="0" quotePrefix="0" xfId="3">
      <alignment horizontal="center" vertical="center"/>
    </xf>
    <xf numFmtId="38" fontId="13" fillId="0" borderId="25" applyAlignment="1" pivotButton="0" quotePrefix="0" xfId="3">
      <alignment horizontal="center" vertical="center"/>
    </xf>
    <xf numFmtId="38" fontId="13" fillId="0" borderId="30" applyAlignment="1" pivotButton="0" quotePrefix="0" xfId="3">
      <alignment horizontal="center" vertical="center"/>
    </xf>
    <xf numFmtId="38" fontId="13" fillId="0" borderId="31" applyAlignment="1" pivotButton="0" quotePrefix="0" xfId="3">
      <alignment horizontal="center" vertical="center"/>
    </xf>
    <xf numFmtId="38" fontId="13" fillId="6" borderId="29" applyAlignment="1" pivotButton="0" quotePrefix="0" xfId="3">
      <alignment horizontal="center" vertical="center"/>
    </xf>
    <xf numFmtId="38" fontId="13" fillId="0" borderId="35" applyAlignment="1" pivotButton="0" quotePrefix="0" xfId="3">
      <alignment horizontal="center" vertical="center"/>
    </xf>
    <xf numFmtId="38" fontId="13" fillId="0" borderId="36" applyAlignment="1" pivotButton="0" quotePrefix="0" xfId="3">
      <alignment horizontal="center" vertical="center"/>
    </xf>
    <xf numFmtId="38" fontId="13" fillId="6" borderId="33" applyAlignment="1" pivotButton="0" quotePrefix="0" xfId="3">
      <alignment horizontal="center" vertical="center"/>
    </xf>
    <xf numFmtId="38" fontId="6" fillId="0" borderId="0" applyAlignment="1" pivotButton="0" quotePrefix="0" xfId="3">
      <alignment horizontal="center" vertical="center"/>
    </xf>
    <xf numFmtId="38" fontId="10" fillId="4" borderId="4" applyAlignment="1" pivotButton="0" quotePrefix="0" xfId="3">
      <alignment horizontal="center" vertical="center"/>
    </xf>
    <xf numFmtId="38" fontId="10" fillId="4" borderId="28" applyAlignment="1" pivotButton="0" quotePrefix="0" xfId="3">
      <alignment horizontal="center" vertical="center"/>
    </xf>
    <xf numFmtId="0" fontId="9" fillId="0" borderId="39" applyAlignment="1" pivotButton="0" quotePrefix="0" xfId="1">
      <alignment vertical="center"/>
    </xf>
    <xf numFmtId="38" fontId="10" fillId="0" borderId="37" applyAlignment="1" pivotButton="0" quotePrefix="0" xfId="3">
      <alignment horizontal="center" vertical="center"/>
    </xf>
    <xf numFmtId="38" fontId="10" fillId="0" borderId="32" applyAlignment="1" pivotButton="0" quotePrefix="0" xfId="3">
      <alignment horizontal="center" vertical="center"/>
    </xf>
    <xf numFmtId="38" fontId="10" fillId="0" borderId="12" applyAlignment="1" pivotButton="0" quotePrefix="0" xfId="3">
      <alignment horizontal="center" vertical="center"/>
    </xf>
    <xf numFmtId="38" fontId="10" fillId="0" borderId="41" applyAlignment="1" pivotButton="0" quotePrefix="0" xfId="3">
      <alignment horizontal="center" vertical="center"/>
    </xf>
    <xf numFmtId="9" fontId="10" fillId="4" borderId="43" applyAlignment="1" pivotButton="0" quotePrefix="0" xfId="4">
      <alignment horizontal="center" vertical="center"/>
    </xf>
    <xf numFmtId="38" fontId="13" fillId="0" borderId="9" applyAlignment="1" pivotButton="0" quotePrefix="0" xfId="3">
      <alignment horizontal="center" vertical="center"/>
    </xf>
    <xf numFmtId="38" fontId="10" fillId="0" borderId="27" applyAlignment="1" pivotButton="0" quotePrefix="0" xfId="3">
      <alignment horizontal="center" vertical="center"/>
    </xf>
    <xf numFmtId="9" fontId="10" fillId="10" borderId="38" applyAlignment="1" pivotButton="0" quotePrefix="0" xfId="4">
      <alignment horizontal="center" vertical="center"/>
    </xf>
    <xf numFmtId="38" fontId="10" fillId="4" borderId="46" applyAlignment="1" pivotButton="0" quotePrefix="0" xfId="3">
      <alignment horizontal="center" vertical="center"/>
    </xf>
    <xf numFmtId="38" fontId="10" fillId="4" borderId="44" applyAlignment="1" pivotButton="0" quotePrefix="0" xfId="3">
      <alignment horizontal="center" vertical="center"/>
    </xf>
    <xf numFmtId="38" fontId="10" fillId="0" borderId="16" applyAlignment="1" pivotButton="0" quotePrefix="0" xfId="3">
      <alignment horizontal="center" vertical="center"/>
    </xf>
    <xf numFmtId="38" fontId="13" fillId="6" borderId="26" applyAlignment="1" pivotButton="0" quotePrefix="0" xfId="3">
      <alignment horizontal="center" vertical="center"/>
    </xf>
    <xf numFmtId="9" fontId="13" fillId="0" borderId="42" applyAlignment="1" pivotButton="0" quotePrefix="0" xfId="4">
      <alignment horizontal="center" vertical="center"/>
    </xf>
    <xf numFmtId="0" fontId="17" fillId="0" borderId="48" applyAlignment="1" pivotButton="0" quotePrefix="0" xfId="1">
      <alignment horizontal="center" vertical="center"/>
    </xf>
    <xf numFmtId="0" fontId="17" fillId="0" borderId="4" applyAlignment="1" pivotButton="0" quotePrefix="0" xfId="1">
      <alignment horizontal="center" vertical="center"/>
    </xf>
    <xf numFmtId="0" fontId="15" fillId="0" borderId="49" applyAlignment="1" pivotButton="0" quotePrefix="0" xfId="1">
      <alignment horizontal="center" vertical="center"/>
    </xf>
    <xf numFmtId="9" fontId="10" fillId="4" borderId="15" applyAlignment="1" pivotButton="0" quotePrefix="0" xfId="4">
      <alignment horizontal="center" vertical="center"/>
    </xf>
    <xf numFmtId="9" fontId="13" fillId="0" borderId="14" applyAlignment="1" pivotButton="0" quotePrefix="0" xfId="4">
      <alignment horizontal="center" vertical="center"/>
    </xf>
    <xf numFmtId="38" fontId="10" fillId="0" borderId="46" applyAlignment="1" pivotButton="0" quotePrefix="0" xfId="3">
      <alignment horizontal="center" vertical="center"/>
    </xf>
    <xf numFmtId="38" fontId="10" fillId="0" borderId="50" applyAlignment="1" pivotButton="0" quotePrefix="0" xfId="3">
      <alignment horizontal="center" vertical="center"/>
    </xf>
    <xf numFmtId="9" fontId="14" fillId="0" borderId="45" applyAlignment="1" pivotButton="0" quotePrefix="0" xfId="4">
      <alignment horizontal="center" vertical="center"/>
    </xf>
    <xf numFmtId="9" fontId="13" fillId="0" borderId="11" applyAlignment="1" pivotButton="0" quotePrefix="0" xfId="4">
      <alignment horizontal="center" vertical="center"/>
    </xf>
    <xf numFmtId="38" fontId="13" fillId="5" borderId="33" applyAlignment="1" pivotButton="0" quotePrefix="0" xfId="3">
      <alignment horizontal="center" vertical="center"/>
    </xf>
    <xf numFmtId="38" fontId="13" fillId="5" borderId="26" applyAlignment="1" pivotButton="0" quotePrefix="0" xfId="3">
      <alignment horizontal="center" vertical="center"/>
    </xf>
    <xf numFmtId="38" fontId="13" fillId="5" borderId="34" applyAlignment="1" pivotButton="0" quotePrefix="0" xfId="3">
      <alignment horizontal="center" vertical="center"/>
    </xf>
    <xf numFmtId="38" fontId="13" fillId="5" borderId="29" applyAlignment="1" pivotButton="0" quotePrefix="0" xfId="3">
      <alignment horizontal="center" vertical="center"/>
    </xf>
    <xf numFmtId="38" fontId="13" fillId="5" borderId="9" applyAlignment="1" pivotButton="0" quotePrefix="0" xfId="3">
      <alignment horizontal="center" vertical="center"/>
    </xf>
    <xf numFmtId="38" fontId="13" fillId="6" borderId="34" applyAlignment="1" pivotButton="0" quotePrefix="0" xfId="3">
      <alignment horizontal="center" vertical="center"/>
    </xf>
    <xf numFmtId="38" fontId="13" fillId="11" borderId="33" applyAlignment="1" pivotButton="0" quotePrefix="0" xfId="3">
      <alignment horizontal="center" vertical="center"/>
    </xf>
    <xf numFmtId="38" fontId="13" fillId="11" borderId="26" applyAlignment="1" pivotButton="0" quotePrefix="0" xfId="3">
      <alignment horizontal="center" vertical="center"/>
    </xf>
    <xf numFmtId="38" fontId="13" fillId="11" borderId="34" applyAlignment="1" pivotButton="0" quotePrefix="0" xfId="3">
      <alignment horizontal="center" vertical="center"/>
    </xf>
    <xf numFmtId="38" fontId="13" fillId="11" borderId="29" applyAlignment="1" pivotButton="0" quotePrefix="0" xfId="3">
      <alignment horizontal="center" vertical="center"/>
    </xf>
    <xf numFmtId="38" fontId="13" fillId="11" borderId="9" applyAlignment="1" pivotButton="0" quotePrefix="0" xfId="3">
      <alignment horizontal="center" vertical="center"/>
    </xf>
    <xf numFmtId="38" fontId="10" fillId="4" borderId="48" applyAlignment="1" pivotButton="0" quotePrefix="0" xfId="3">
      <alignment horizontal="center" vertical="center"/>
    </xf>
    <xf numFmtId="38" fontId="10" fillId="0" borderId="53" applyAlignment="1" pivotButton="0" quotePrefix="0" xfId="3">
      <alignment horizontal="center" vertical="center"/>
    </xf>
    <xf numFmtId="38" fontId="10" fillId="0" borderId="54" applyAlignment="1" pivotButton="0" quotePrefix="0" xfId="3">
      <alignment horizontal="center" vertical="center"/>
    </xf>
    <xf numFmtId="9" fontId="10" fillId="10" borderId="55" applyAlignment="1" pivotButton="0" quotePrefix="0" xfId="4">
      <alignment horizontal="center" vertical="center"/>
    </xf>
    <xf numFmtId="38" fontId="10" fillId="0" borderId="56" applyAlignment="1" pivotButton="0" quotePrefix="0" xfId="3">
      <alignment horizontal="center" vertical="center"/>
    </xf>
    <xf numFmtId="38" fontId="14" fillId="0" borderId="31" applyAlignment="1" pivotButton="0" quotePrefix="0" xfId="3">
      <alignment horizontal="center" vertical="center"/>
    </xf>
    <xf numFmtId="38" fontId="14" fillId="0" borderId="25" applyAlignment="1" pivotButton="0" quotePrefix="0" xfId="3">
      <alignment horizontal="center" vertical="center"/>
    </xf>
    <xf numFmtId="0" fontId="20" fillId="0" borderId="0" applyAlignment="1" pivotButton="0" quotePrefix="0" xfId="1">
      <alignment horizontal="center" vertical="center"/>
    </xf>
    <xf numFmtId="0" fontId="10" fillId="0" borderId="32" applyAlignment="1" pivotButton="0" quotePrefix="0" xfId="3">
      <alignment horizontal="center" vertical="center"/>
    </xf>
    <xf numFmtId="38" fontId="10" fillId="6" borderId="58" applyAlignment="1" pivotButton="0" quotePrefix="0" xfId="3">
      <alignment horizontal="center" vertical="center"/>
    </xf>
    <xf numFmtId="38" fontId="10" fillId="6" borderId="59" applyAlignment="1" pivotButton="0" quotePrefix="0" xfId="3">
      <alignment horizontal="center" vertical="center"/>
    </xf>
    <xf numFmtId="0" fontId="17" fillId="10" borderId="48" applyAlignment="1" pivotButton="0" quotePrefix="0" xfId="1">
      <alignment horizontal="center" vertical="center"/>
    </xf>
    <xf numFmtId="0" fontId="17" fillId="10" borderId="4" applyAlignment="1" pivotButton="0" quotePrefix="0" xfId="1">
      <alignment horizontal="center" vertical="center"/>
    </xf>
    <xf numFmtId="0" fontId="15" fillId="10" borderId="49" applyAlignment="1" pivotButton="0" quotePrefix="0" xfId="1">
      <alignment horizontal="center" vertical="center"/>
    </xf>
    <xf numFmtId="9" fontId="15" fillId="10" borderId="49" applyAlignment="1" pivotButton="0" quotePrefix="0" xfId="4">
      <alignment horizontal="center" vertical="center"/>
    </xf>
    <xf numFmtId="38" fontId="10" fillId="0" borderId="62" applyAlignment="1" pivotButton="0" quotePrefix="0" xfId="3">
      <alignment horizontal="center" vertical="center"/>
    </xf>
    <xf numFmtId="38" fontId="10" fillId="6" borderId="60" applyAlignment="1" pivotButton="0" quotePrefix="0" xfId="3">
      <alignment horizontal="center" vertical="center"/>
    </xf>
    <xf numFmtId="38" fontId="10" fillId="6" borderId="61" applyAlignment="1" pivotButton="0" quotePrefix="0" xfId="3">
      <alignment horizontal="center" vertical="center"/>
    </xf>
    <xf numFmtId="38" fontId="10" fillId="13" borderId="4" applyAlignment="1" pivotButton="0" quotePrefix="0" xfId="3">
      <alignment horizontal="center" vertical="center"/>
    </xf>
    <xf numFmtId="38" fontId="10" fillId="13" borderId="46" applyAlignment="1" pivotButton="0" quotePrefix="0" xfId="3">
      <alignment horizontal="center" vertical="center"/>
    </xf>
    <xf numFmtId="9" fontId="10" fillId="13" borderId="46" applyAlignment="1" pivotButton="0" quotePrefix="0" xfId="4">
      <alignment horizontal="center" vertical="center"/>
    </xf>
    <xf numFmtId="9" fontId="10" fillId="13" borderId="46" applyAlignment="1" pivotButton="0" quotePrefix="0" xfId="3">
      <alignment horizontal="center" vertical="center"/>
    </xf>
    <xf numFmtId="9" fontId="10" fillId="13" borderId="57" applyAlignment="1" pivotButton="0" quotePrefix="0" xfId="4">
      <alignment horizontal="center" vertical="center"/>
    </xf>
    <xf numFmtId="38" fontId="10" fillId="13" borderId="28" applyAlignment="1" pivotButton="0" quotePrefix="0" xfId="3">
      <alignment horizontal="center" vertical="center"/>
    </xf>
    <xf numFmtId="9" fontId="10" fillId="13" borderId="43" applyAlignment="1" pivotButton="0" quotePrefix="0" xfId="4">
      <alignment horizontal="center" vertical="center"/>
    </xf>
    <xf numFmtId="38" fontId="10" fillId="13" borderId="48" applyAlignment="1" pivotButton="0" quotePrefix="0" xfId="3">
      <alignment horizontal="center" vertical="center"/>
    </xf>
    <xf numFmtId="9" fontId="10" fillId="13" borderId="15" applyAlignment="1" pivotButton="0" quotePrefix="0" xfId="4">
      <alignment horizontal="center" vertical="center"/>
    </xf>
    <xf numFmtId="9" fontId="9" fillId="10" borderId="43" applyAlignment="1" pivotButton="0" quotePrefix="0" xfId="4">
      <alignment horizontal="center" vertical="center"/>
    </xf>
    <xf numFmtId="9" fontId="14" fillId="6" borderId="42" applyAlignment="1" pivotButton="0" quotePrefix="0" xfId="4">
      <alignment horizontal="center" vertical="center"/>
    </xf>
    <xf numFmtId="9" fontId="10" fillId="6" borderId="43" applyAlignment="1" pivotButton="0" quotePrefix="0" xfId="4">
      <alignment horizontal="center" vertical="center"/>
    </xf>
    <xf numFmtId="9" fontId="14" fillId="6" borderId="14" applyAlignment="1" pivotButton="0" quotePrefix="0" xfId="4">
      <alignment horizontal="center" vertical="center"/>
    </xf>
    <xf numFmtId="0" fontId="15" fillId="6" borderId="49" applyAlignment="1" pivotButton="0" quotePrefix="0" xfId="1">
      <alignment horizontal="center" vertical="center"/>
    </xf>
    <xf numFmtId="38" fontId="13" fillId="0" borderId="41" applyAlignment="1" pivotButton="0" quotePrefix="0" xfId="3">
      <alignment horizontal="center" vertical="center"/>
    </xf>
    <xf numFmtId="38" fontId="13" fillId="10" borderId="4" applyAlignment="1" pivotButton="0" quotePrefix="0" xfId="3">
      <alignment horizontal="center" vertical="center"/>
    </xf>
    <xf numFmtId="9" fontId="13" fillId="0" borderId="64" applyAlignment="1" pivotButton="0" quotePrefix="0" xfId="4">
      <alignment horizontal="center" vertical="center"/>
    </xf>
    <xf numFmtId="9" fontId="13" fillId="0" borderId="65" applyAlignment="1" pivotButton="0" quotePrefix="0" xfId="4">
      <alignment horizontal="center" vertical="center"/>
    </xf>
    <xf numFmtId="38" fontId="13" fillId="10" borderId="48" applyAlignment="1" pivotButton="0" quotePrefix="0" xfId="3">
      <alignment horizontal="center" vertical="center"/>
    </xf>
    <xf numFmtId="38" fontId="13" fillId="10" borderId="49" applyAlignment="1" pivotButton="0" quotePrefix="0" xfId="3">
      <alignment horizontal="center" vertical="center"/>
    </xf>
    <xf numFmtId="9" fontId="9" fillId="10" borderId="34" applyAlignment="1" pivotButton="0" quotePrefix="0" xfId="4">
      <alignment horizontal="center" vertical="center"/>
    </xf>
    <xf numFmtId="9" fontId="9" fillId="10" borderId="63" applyAlignment="1" pivotButton="0" quotePrefix="0" xfId="4">
      <alignment horizontal="center" vertical="center"/>
    </xf>
    <xf numFmtId="0" fontId="0" fillId="0" borderId="0" pivotButton="0" quotePrefix="0" xfId="0"/>
    <xf numFmtId="9" fontId="4" fillId="0" borderId="0" applyAlignment="1" pivotButton="0" quotePrefix="0" xfId="4">
      <alignment vertical="center"/>
    </xf>
    <xf numFmtId="0" fontId="0" fillId="0" borderId="0" applyAlignment="1" pivotButton="1" quotePrefix="0" xfId="0">
      <alignment vertical="center"/>
    </xf>
    <xf numFmtId="0" fontId="0" fillId="0" borderId="0" applyAlignment="1" pivotButton="0" quotePrefix="0" xfId="0">
      <alignment horizontal="left" vertical="center"/>
    </xf>
    <xf numFmtId="0" fontId="22" fillId="0" borderId="71" applyAlignment="1" pivotButton="0" quotePrefix="0" xfId="0">
      <alignment horizontal="center" vertical="top"/>
    </xf>
    <xf numFmtId="0" fontId="21" fillId="0" borderId="71" applyAlignment="1" pivotButton="0" quotePrefix="0" xfId="0">
      <alignment horizontal="center" vertical="top"/>
    </xf>
    <xf numFmtId="0" fontId="0" fillId="0" borderId="0" applyAlignment="1" pivotButton="0" quotePrefix="0" xfId="0">
      <alignment horizontal="left" vertical="center" indent="1"/>
    </xf>
    <xf numFmtId="0" fontId="0" fillId="0" borderId="0" applyAlignment="1" pivotButton="0" quotePrefix="0" xfId="0">
      <alignment horizontal="left" vertical="center" indent="2"/>
    </xf>
    <xf numFmtId="0" fontId="0" fillId="0" borderId="71" applyAlignment="1" pivotButton="0" quotePrefix="0" xfId="0">
      <alignment horizontal="left" vertical="center"/>
    </xf>
    <xf numFmtId="9" fontId="4" fillId="0" borderId="71" applyAlignment="1" pivotButton="0" quotePrefix="0" xfId="4">
      <alignment vertical="center"/>
    </xf>
    <xf numFmtId="3" fontId="0" fillId="8" borderId="21" applyAlignment="1" pivotButton="0" quotePrefix="0" xfId="0">
      <alignment vertical="center"/>
    </xf>
    <xf numFmtId="0" fontId="0" fillId="0" borderId="22" pivotButton="0" quotePrefix="0" xfId="0"/>
    <xf numFmtId="0" fontId="0" fillId="0" borderId="23" pivotButton="0" quotePrefix="0" xfId="0"/>
    <xf numFmtId="3" fontId="0" fillId="8" borderId="1" applyAlignment="1" pivotButton="0" quotePrefix="0" xfId="0">
      <alignment vertical="center"/>
    </xf>
    <xf numFmtId="0" fontId="0" fillId="0" borderId="6" pivotButton="0" quotePrefix="0" xfId="0"/>
    <xf numFmtId="0" fontId="0" fillId="0" borderId="3" pivotButton="0" quotePrefix="0" xfId="0"/>
    <xf numFmtId="3" fontId="0" fillId="6" borderId="1" applyAlignment="1" pivotButton="0" quotePrefix="0" xfId="0">
      <alignment horizontal="center" vertical="center"/>
    </xf>
    <xf numFmtId="3" fontId="0" fillId="5" borderId="1" applyAlignment="1" pivotButton="0" quotePrefix="0" xfId="0">
      <alignment horizontal="center" vertical="center"/>
    </xf>
    <xf numFmtId="3" fontId="0" fillId="8" borderId="1" applyAlignment="1" pivotButton="0" quotePrefix="0" xfId="0">
      <alignment horizontal="center" vertical="center" wrapText="1"/>
    </xf>
    <xf numFmtId="3" fontId="0" fillId="8" borderId="1" applyAlignment="1" pivotButton="0" quotePrefix="0" xfId="0">
      <alignment horizontal="left" vertical="center"/>
    </xf>
    <xf numFmtId="3" fontId="2" fillId="9" borderId="1" applyAlignment="1" pivotButton="0" quotePrefix="0" xfId="0">
      <alignment horizontal="center" vertical="center" wrapText="1"/>
    </xf>
    <xf numFmtId="3" fontId="0" fillId="2" borderId="1" applyAlignment="1" pivotButton="0" quotePrefix="0" xfId="0">
      <alignment horizontal="center" vertical="center"/>
    </xf>
    <xf numFmtId="3" fontId="0" fillId="4" borderId="1" applyAlignment="1" pivotButton="0" quotePrefix="0" xfId="0">
      <alignment horizontal="center" vertical="center"/>
    </xf>
    <xf numFmtId="3" fontId="0" fillId="8" borderId="2" applyAlignment="1" pivotButton="0" quotePrefix="0" xfId="0">
      <alignment vertical="center"/>
    </xf>
    <xf numFmtId="0" fontId="0" fillId="0" borderId="19" pivotButton="0" quotePrefix="0" xfId="0"/>
    <xf numFmtId="0" fontId="0" fillId="0" borderId="17" pivotButton="0" quotePrefix="0" xfId="0"/>
    <xf numFmtId="0" fontId="10" fillId="6" borderId="0" applyAlignment="1" pivotButton="0" quotePrefix="0" xfId="1">
      <alignment horizontal="center" vertical="center"/>
    </xf>
    <xf numFmtId="0" fontId="9" fillId="0" borderId="0" applyAlignment="1" pivotButton="0" quotePrefix="0" xfId="1">
      <alignment vertical="center"/>
    </xf>
    <xf numFmtId="14" fontId="9" fillId="0" borderId="0" applyAlignment="1" pivotButton="0" quotePrefix="0" xfId="1">
      <alignment horizontal="center" vertical="center"/>
    </xf>
    <xf numFmtId="0" fontId="19" fillId="6" borderId="16" applyAlignment="1" pivotButton="0" quotePrefix="0" xfId="1">
      <alignment horizontal="center" vertical="center"/>
    </xf>
    <xf numFmtId="0" fontId="0" fillId="0" borderId="16" pivotButton="0" quotePrefix="0" xfId="0"/>
    <xf numFmtId="0" fontId="11" fillId="0" borderId="0" applyAlignment="1" pivotButton="0" quotePrefix="0" xfId="1">
      <alignment horizontal="center" vertical="center"/>
    </xf>
    <xf numFmtId="0" fontId="15" fillId="0" borderId="5" applyAlignment="1" pivotButton="0" quotePrefix="0" xfId="1">
      <alignment horizontal="center" vertical="center"/>
    </xf>
    <xf numFmtId="0" fontId="0" fillId="0" borderId="47" pivotButton="0" quotePrefix="0" xfId="0"/>
    <xf numFmtId="0" fontId="0" fillId="0" borderId="28" pivotButton="0" quotePrefix="0" xfId="0"/>
    <xf numFmtId="0" fontId="17" fillId="0" borderId="57" applyAlignment="1" pivotButton="0" quotePrefix="0" xfId="1">
      <alignment horizontal="center" vertical="center"/>
    </xf>
    <xf numFmtId="0" fontId="0" fillId="0" borderId="43" pivotButton="0" quotePrefix="0" xfId="0"/>
    <xf numFmtId="0" fontId="7" fillId="0" borderId="0" applyAlignment="1" pivotButton="0" quotePrefix="0" xfId="1">
      <alignment horizontal="center" vertical="center"/>
    </xf>
    <xf numFmtId="0" fontId="7" fillId="0" borderId="0" applyAlignment="1" pivotButton="0" quotePrefix="0" xfId="1">
      <alignment vertical="center"/>
    </xf>
    <xf numFmtId="0" fontId="18" fillId="12" borderId="57" applyAlignment="1" pivotButton="0" quotePrefix="0" xfId="1">
      <alignment horizontal="center" vertical="center"/>
    </xf>
    <xf numFmtId="38" fontId="10" fillId="13" borderId="5" applyAlignment="1" pivotButton="0" quotePrefix="0" xfId="3">
      <alignment horizontal="center" vertical="center"/>
    </xf>
    <xf numFmtId="0" fontId="17" fillId="0" borderId="66" applyAlignment="1" pivotButton="0" quotePrefix="0" xfId="1">
      <alignment horizontal="center" vertical="center"/>
    </xf>
    <xf numFmtId="0" fontId="0" fillId="0" borderId="51" pivotButton="0" quotePrefix="0" xfId="0"/>
    <xf numFmtId="0" fontId="0" fillId="0" borderId="52" pivotButton="0" quotePrefix="0" xfId="0"/>
    <xf numFmtId="38" fontId="13" fillId="0" borderId="8" applyAlignment="1" pivotButton="0" quotePrefix="0" xfId="3">
      <alignment horizontal="center" vertical="center"/>
    </xf>
    <xf numFmtId="0" fontId="0" fillId="0" borderId="67" pivotButton="0" quotePrefix="0" xfId="0"/>
    <xf numFmtId="0" fontId="0" fillId="0" borderId="30" pivotButton="0" quotePrefix="0" xfId="0"/>
    <xf numFmtId="38" fontId="14" fillId="10" borderId="10" applyAlignment="1" pivotButton="0" quotePrefix="0" xfId="3">
      <alignment horizontal="center" vertical="center"/>
    </xf>
    <xf numFmtId="0" fontId="0" fillId="0" borderId="68" pivotButton="0" quotePrefix="0" xfId="0"/>
    <xf numFmtId="0" fontId="0" fillId="0" borderId="29" pivotButton="0" quotePrefix="0" xfId="0"/>
    <xf numFmtId="0" fontId="15" fillId="0" borderId="69" applyAlignment="1" pivotButton="0" quotePrefix="0" xfId="1">
      <alignment horizontal="center" vertical="center"/>
    </xf>
    <xf numFmtId="38" fontId="16" fillId="10" borderId="13" applyAlignment="1" pivotButton="0" quotePrefix="0" xfId="3">
      <alignment horizontal="center" vertical="center"/>
    </xf>
    <xf numFmtId="0" fontId="0" fillId="0" borderId="70" pivotButton="0" quotePrefix="0" xfId="0"/>
    <xf numFmtId="0" fontId="0" fillId="0" borderId="32" pivotButton="0" quotePrefix="0" xfId="0"/>
    <xf numFmtId="38" fontId="14" fillId="6" borderId="10" applyAlignment="1" pivotButton="0" quotePrefix="0" xfId="3">
      <alignment horizontal="center" vertical="center"/>
    </xf>
    <xf numFmtId="38" fontId="10" fillId="11" borderId="5" applyAlignment="1" pivotButton="0" quotePrefix="0" xfId="3">
      <alignment horizontal="center" vertical="center"/>
    </xf>
    <xf numFmtId="38" fontId="6" fillId="0" borderId="0" applyAlignment="1" pivotButton="0" quotePrefix="0" xfId="3">
      <alignment horizontal="center" vertical="center"/>
    </xf>
    <xf numFmtId="0" fontId="6" fillId="0" borderId="0" applyAlignment="1" pivotButton="0" quotePrefix="0" xfId="1">
      <alignment horizontal="center" vertical="center"/>
    </xf>
    <xf numFmtId="38" fontId="10" fillId="10" borderId="13" applyAlignment="1" pivotButton="0" quotePrefix="0" xfId="3">
      <alignment horizontal="center" vertical="center"/>
    </xf>
    <xf numFmtId="38" fontId="14" fillId="11" borderId="10" applyAlignment="1" pivotButton="0" quotePrefix="0" xfId="3">
      <alignment horizontal="center" vertical="center"/>
    </xf>
    <xf numFmtId="38" fontId="12" fillId="0" borderId="8" applyAlignment="1" pivotButton="0" quotePrefix="0" xfId="3">
      <alignment horizontal="center" vertical="center" wrapText="1"/>
    </xf>
    <xf numFmtId="38" fontId="13" fillId="0" borderId="40" applyAlignment="1" pivotButton="0" quotePrefix="0" xfId="3">
      <alignment horizontal="center" vertical="center"/>
    </xf>
    <xf numFmtId="0" fontId="0" fillId="0" borderId="39" pivotButton="0" quotePrefix="0" xfId="0"/>
    <xf numFmtId="0" fontId="0" fillId="0" borderId="31" pivotButton="0" quotePrefix="0" xfId="0"/>
    <xf numFmtId="38" fontId="10" fillId="6" borderId="5" applyAlignment="1" pivotButton="0" quotePrefix="0" xfId="3">
      <alignment horizontal="center" vertical="center"/>
    </xf>
    <xf numFmtId="0" fontId="18" fillId="4" borderId="57" applyAlignment="1" pivotButton="0" quotePrefix="0" xfId="1">
      <alignment horizontal="center" vertical="center"/>
    </xf>
    <xf numFmtId="38" fontId="10" fillId="4" borderId="5" applyAlignment="1" pivotButton="0" quotePrefix="0" xfId="3">
      <alignment horizontal="center" vertical="center"/>
    </xf>
    <xf numFmtId="38" fontId="10" fillId="0" borderId="13" applyAlignment="1" pivotButton="0" quotePrefix="0" xfId="3">
      <alignment horizontal="center" vertical="center"/>
    </xf>
    <xf numFmtId="38" fontId="14" fillId="5" borderId="10" applyAlignment="1" pivotButton="0" quotePrefix="0" xfId="3">
      <alignment horizontal="center" vertical="center"/>
    </xf>
    <xf numFmtId="38" fontId="10" fillId="0" borderId="5" applyAlignment="1" pivotButton="0" quotePrefix="0" xfId="3">
      <alignment horizontal="center" vertical="center"/>
    </xf>
    <xf numFmtId="38" fontId="16" fillId="0" borderId="13" applyAlignment="1" pivotButton="0" quotePrefix="0" xfId="3">
      <alignment horizontal="center" vertical="center"/>
    </xf>
    <xf numFmtId="0" fontId="0" fillId="0" borderId="0" applyAlignment="1" pivotButton="0" quotePrefix="0" xfId="0">
      <alignment vertical="center"/>
    </xf>
    <xf numFmtId="0" fontId="0" fillId="0" borderId="71" applyAlignment="1" pivotButton="0" quotePrefix="0" xfId="0">
      <alignment vertical="center"/>
    </xf>
    <xf numFmtId="0" fontId="0" fillId="14" borderId="0" applyAlignment="1" pivotButton="0" quotePrefix="0" xfId="0">
      <alignment vertical="center"/>
    </xf>
    <xf numFmtId="0" fontId="24" fillId="15" borderId="71" applyAlignment="1" pivotButton="0" quotePrefix="0" xfId="0">
      <alignment vertical="center"/>
    </xf>
    <xf numFmtId="0" fontId="24" fillId="15" borderId="71" applyAlignment="1" pivotButton="0" quotePrefix="0" xfId="0">
      <alignment horizontal="center" vertical="center"/>
    </xf>
    <xf numFmtId="9" fontId="24" fillId="15" borderId="71" applyAlignment="1" pivotButton="0" quotePrefix="0" xfId="4">
      <alignment vertical="center"/>
    </xf>
    <xf numFmtId="9" fontId="4" fillId="10" borderId="71" applyAlignment="1" pivotButton="0" quotePrefix="0" xfId="4">
      <alignment vertical="center"/>
    </xf>
    <xf numFmtId="0" fontId="0" fillId="15" borderId="0" applyAlignment="1" pivotButton="0" quotePrefix="0" xfId="0">
      <alignment vertical="center"/>
    </xf>
    <xf numFmtId="0" fontId="25" fillId="0" borderId="0" applyAlignment="1" pivotButton="0" quotePrefix="0" xfId="0">
      <alignment horizontal="center" vertical="center"/>
    </xf>
    <xf numFmtId="0" fontId="0" fillId="10" borderId="71" applyAlignment="1" pivotButton="0" quotePrefix="0" xfId="0">
      <alignment vertical="center"/>
    </xf>
    <xf numFmtId="0" fontId="0" fillId="16" borderId="71" applyAlignment="1" pivotButton="0" quotePrefix="0" xfId="0">
      <alignment horizontal="left" vertical="center"/>
    </xf>
    <xf numFmtId="0" fontId="24" fillId="16" borderId="71" applyAlignment="1" pivotButton="0" quotePrefix="0" xfId="0">
      <alignment horizontal="left" vertical="center"/>
    </xf>
    <xf numFmtId="9" fontId="0" fillId="10" borderId="71" applyAlignment="1" pivotButton="0" quotePrefix="0" xfId="4">
      <alignment vertical="center"/>
    </xf>
    <xf numFmtId="0" fontId="25" fillId="0" borderId="16" applyAlignment="1" pivotButton="0" quotePrefix="0" xfId="0">
      <alignment horizontal="center" vertical="center"/>
    </xf>
    <xf numFmtId="0" fontId="26" fillId="0" borderId="0" applyAlignment="1" pivotButton="0" quotePrefix="0" xfId="0">
      <alignment horizontal="center" vertical="center"/>
    </xf>
    <xf numFmtId="0" fontId="23" fillId="0" borderId="0" applyAlignment="1" pivotButton="0" quotePrefix="0" xfId="0">
      <alignment vertical="center"/>
    </xf>
    <xf numFmtId="0" fontId="21" fillId="17" borderId="71" applyAlignment="1" pivotButton="0" quotePrefix="0" xfId="0">
      <alignment horizontal="center"/>
    </xf>
    <xf numFmtId="0" fontId="0" fillId="0" borderId="71" applyAlignment="1" pivotButton="0" quotePrefix="0" xfId="0">
      <alignment horizontal="center" vertical="center"/>
    </xf>
    <xf numFmtId="3" fontId="0" fillId="5" borderId="71" applyAlignment="1" pivotButton="0" quotePrefix="0" xfId="0">
      <alignment horizontal="center" vertical="center"/>
    </xf>
    <xf numFmtId="3" fontId="0" fillId="8" borderId="71" applyAlignment="1" pivotButton="0" quotePrefix="0" xfId="0">
      <alignment horizontal="center" vertical="center" wrapText="1"/>
    </xf>
    <xf numFmtId="3" fontId="0" fillId="8" borderId="71" applyAlignment="1" pivotButton="0" quotePrefix="0" xfId="0">
      <alignment horizontal="left" vertical="center"/>
    </xf>
    <xf numFmtId="3" fontId="0" fillId="8" borderId="71" applyAlignment="1" pivotButton="0" quotePrefix="0" xfId="0">
      <alignment vertical="center"/>
    </xf>
    <xf numFmtId="3" fontId="0" fillId="6" borderId="71" applyAlignment="1" pivotButton="0" quotePrefix="0" xfId="0">
      <alignment horizontal="center" vertical="center"/>
    </xf>
    <xf numFmtId="3" fontId="2" fillId="9" borderId="71" applyAlignment="1" pivotButton="0" quotePrefix="0" xfId="0">
      <alignment horizontal="center" vertical="center" wrapText="1"/>
    </xf>
    <xf numFmtId="3" fontId="0" fillId="2" borderId="71" applyAlignment="1" pivotButton="0" quotePrefix="0" xfId="0">
      <alignment horizontal="center" vertical="center"/>
    </xf>
    <xf numFmtId="3" fontId="0" fillId="4" borderId="71" applyAlignment="1" pivotButton="0" quotePrefix="0" xfId="0">
      <alignment horizontal="center" vertical="center"/>
    </xf>
    <xf numFmtId="0" fontId="26" fillId="0" borderId="16" applyAlignment="1" pivotButton="0" quotePrefix="0" xfId="0">
      <alignment horizontal="center" vertical="center"/>
    </xf>
  </cellXfs>
  <cellStyles count="5">
    <cellStyle name="Normal" xfId="0" builtinId="0"/>
    <cellStyle name="標準 2" xfId="1"/>
    <cellStyle name="桁区切り 2" xfId="2"/>
    <cellStyle name="Comma [0]" xfId="3" builtinId="6"/>
    <cellStyle name="Percent" xfId="4" builtinId="5"/>
  </cellStyles>
  <dxfs count="35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1"/>
        </patternFill>
      </fill>
    </dxf>
    <dxf>
      <fill>
        <patternFill>
          <bgColor theme="1"/>
        </patternFill>
      </fill>
    </dxf>
    <dxf>
      <font>
        <color theme="0"/>
      </font>
    </dxf>
    <dxf>
      <font>
        <color theme="0"/>
      </font>
    </dxf>
    <dxf>
      <fill>
        <patternFill>
          <bgColor theme="1"/>
        </patternFill>
      </fill>
    </dxf>
    <dxf>
      <fill>
        <patternFill>
          <bgColor theme="1"/>
        </patternFill>
      </fill>
    </dxf>
    <dxf>
      <font>
        <color theme="0"/>
      </font>
    </dxf>
    <dxf>
      <font>
        <color theme="0"/>
      </font>
    </dxf>
    <dxf>
      <fill>
        <patternFill>
          <bgColor theme="0"/>
        </patternFill>
      </fill>
    </dxf>
    <dxf>
      <font>
        <color theme="1"/>
      </font>
    </dxf>
    <dxf>
      <fill>
        <patternFill>
          <bgColor theme="2"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1"/>
        </patternFill>
      </fill>
    </dxf>
    <dxf>
      <fill>
        <patternFill>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fill>
        <patternFill>
          <bgColor theme="0"/>
        </patternFill>
      </fill>
    </dxf>
    <dxf>
      <font>
        <color theme="1"/>
      </font>
    </dxf>
    <dxf>
      <fill>
        <patternFill>
          <bgColor theme="2" tint="-0.499984740745262"/>
        </patternFill>
      </fill>
    </dxf>
    <dxf>
      <fill>
        <patternFill>
          <bgColor theme="2"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1"/>
        </patternFill>
      </fill>
    </dxf>
    <dxf>
      <fill>
        <patternFill>
          <bgColor theme="1"/>
        </patternFill>
      </fill>
    </dxf>
    <dxf>
      <font>
        <color theme="0"/>
      </font>
    </dxf>
    <dxf>
      <font>
        <color theme="0"/>
      </font>
    </dxf>
    <dxf>
      <fill>
        <patternFill>
          <bgColor theme="1"/>
        </patternFill>
      </fill>
    </dxf>
    <dxf>
      <fill>
        <patternFill>
          <bgColor theme="1"/>
        </patternFill>
      </fill>
    </dxf>
    <dxf>
      <font>
        <color theme="0"/>
      </font>
    </dxf>
    <dxf>
      <font>
        <color theme="0"/>
      </font>
    </dxf>
    <dxf>
      <fill>
        <patternFill>
          <bgColor theme="0"/>
        </patternFill>
      </fill>
    </dxf>
    <dxf>
      <font>
        <color theme="1"/>
      </font>
    </dxf>
    <dxf>
      <fill>
        <patternFill>
          <bgColor theme="2"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1"/>
        </patternFill>
      </fill>
    </dxf>
    <dxf>
      <fill>
        <patternFill>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fill>
        <patternFill>
          <bgColor theme="0"/>
        </patternFill>
      </fill>
    </dxf>
    <dxf>
      <font>
        <color theme="1"/>
      </font>
    </dxf>
    <dxf>
      <fill>
        <patternFill>
          <bgColor theme="2" tint="-0.499984740745262"/>
        </patternFill>
      </fill>
    </dxf>
    <dxf>
      <fill>
        <patternFill>
          <bgColor theme="2"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1"/>
        </patternFill>
      </fill>
    </dxf>
    <dxf>
      <fill>
        <patternFill>
          <bgColor theme="1"/>
        </patternFill>
      </fill>
    </dxf>
    <dxf>
      <font>
        <color theme="0"/>
      </font>
    </dxf>
    <dxf>
      <font>
        <color theme="0"/>
      </font>
    </dxf>
    <dxf>
      <fill>
        <patternFill>
          <bgColor theme="1"/>
        </patternFill>
      </fill>
    </dxf>
    <dxf>
      <fill>
        <patternFill>
          <bgColor theme="1"/>
        </patternFill>
      </fill>
    </dxf>
    <dxf>
      <font>
        <color theme="0"/>
      </font>
    </dxf>
    <dxf>
      <font>
        <color theme="0"/>
      </font>
    </dxf>
    <dxf>
      <fill>
        <patternFill>
          <bgColor theme="0"/>
        </patternFill>
      </fill>
    </dxf>
    <dxf>
      <font>
        <color theme="1"/>
      </font>
    </dxf>
    <dxf>
      <fill>
        <patternFill>
          <bgColor theme="2"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1"/>
        </patternFill>
      </fill>
    </dxf>
    <dxf>
      <fill>
        <patternFill>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fill>
        <patternFill>
          <bgColor theme="0"/>
        </patternFill>
      </fill>
    </dxf>
    <dxf>
      <font>
        <color theme="1"/>
      </font>
    </dxf>
    <dxf>
      <fill>
        <patternFill>
          <bgColor theme="2" tint="-0.499984740745262"/>
        </patternFill>
      </fill>
    </dxf>
    <dxf>
      <fill>
        <patternFill>
          <bgColor theme="2"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1"/>
        </patternFill>
      </fill>
    </dxf>
    <dxf>
      <fill>
        <patternFill>
          <bgColor theme="1"/>
        </patternFill>
      </fill>
    </dxf>
    <dxf>
      <font>
        <color theme="0"/>
      </font>
    </dxf>
    <dxf>
      <font>
        <color theme="0"/>
      </font>
    </dxf>
    <dxf>
      <fill>
        <patternFill>
          <bgColor theme="1"/>
        </patternFill>
      </fill>
    </dxf>
    <dxf>
      <fill>
        <patternFill>
          <bgColor theme="1"/>
        </patternFill>
      </fill>
    </dxf>
    <dxf>
      <font>
        <color theme="0"/>
      </font>
    </dxf>
    <dxf>
      <font>
        <color theme="0"/>
      </font>
    </dxf>
    <dxf>
      <fill>
        <patternFill>
          <bgColor theme="0"/>
        </patternFill>
      </fill>
    </dxf>
    <dxf>
      <font>
        <color theme="1"/>
      </font>
    </dxf>
    <dxf>
      <fill>
        <patternFill>
          <bgColor theme="2"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1"/>
        </patternFill>
      </fill>
    </dxf>
    <dxf>
      <fill>
        <patternFill>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fill>
        <patternFill>
          <bgColor theme="0"/>
        </patternFill>
      </fill>
    </dxf>
    <dxf>
      <font>
        <color theme="1"/>
      </font>
    </dxf>
    <dxf>
      <fill>
        <patternFill>
          <bgColor theme="2" tint="-0.499984740745262"/>
        </patternFill>
      </fill>
    </dxf>
    <dxf>
      <fill>
        <patternFill>
          <bgColor theme="2"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1"/>
        </patternFill>
      </fill>
    </dxf>
    <dxf>
      <fill>
        <patternFill>
          <bgColor theme="1"/>
        </patternFill>
      </fill>
    </dxf>
    <dxf>
      <font>
        <color theme="0"/>
      </font>
    </dxf>
    <dxf>
      <font>
        <color theme="0"/>
      </font>
    </dxf>
    <dxf>
      <fill>
        <patternFill>
          <bgColor theme="1"/>
        </patternFill>
      </fill>
    </dxf>
    <dxf>
      <fill>
        <patternFill>
          <bgColor theme="1"/>
        </patternFill>
      </fill>
    </dxf>
    <dxf>
      <font>
        <color theme="0"/>
      </font>
    </dxf>
    <dxf>
      <font>
        <color theme="0"/>
      </font>
    </dxf>
    <dxf>
      <fill>
        <patternFill>
          <bgColor theme="0"/>
        </patternFill>
      </fill>
    </dxf>
    <dxf>
      <font>
        <color theme="1"/>
      </font>
    </dxf>
    <dxf>
      <fill>
        <patternFill>
          <bgColor theme="2"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1"/>
        </patternFill>
      </fill>
    </dxf>
    <dxf>
      <fill>
        <patternFill>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fill>
        <patternFill>
          <bgColor theme="0"/>
        </patternFill>
      </fill>
    </dxf>
    <dxf>
      <font>
        <color theme="1"/>
      </font>
    </dxf>
    <dxf>
      <fill>
        <patternFill>
          <bgColor theme="2" tint="-0.499984740745262"/>
        </patternFill>
      </fill>
    </dxf>
    <dxf>
      <fill>
        <patternFill>
          <bgColor theme="2" tint="-0.499984740745262"/>
        </patternFill>
      </fill>
    </dxf>
    <dxf>
      <font>
        <b val="1"/>
      </font>
      <fill>
        <patternFill>
          <bgColor rgb="FFFFFF00"/>
        </patternFill>
      </fill>
    </dxf>
    <dxf>
      <font>
        <b val="1"/>
      </font>
      <fill>
        <patternFill>
          <bgColor rgb="FF92D050"/>
        </patternFill>
      </fill>
    </dxf>
    <dxf>
      <font>
        <b val="1"/>
      </font>
      <fill>
        <patternFill>
          <bgColor rgb="FFFF0000"/>
        </patternFill>
      </fill>
    </dxf>
    <dxf>
      <font>
        <b val="1"/>
      </font>
      <fill>
        <patternFill>
          <bgColor rgb="FF92D050"/>
        </patternFill>
      </fill>
    </dxf>
    <dxf>
      <font>
        <b val="1"/>
      </font>
      <fill>
        <patternFill>
          <bgColor rgb="FFFFFF00"/>
        </patternFill>
      </fill>
    </dxf>
    <dxf>
      <font>
        <b val="1"/>
      </font>
      <fill>
        <patternFill>
          <bgColor rgb="FF92D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1"/>
        </patternFill>
      </fill>
    </dxf>
    <dxf>
      <fill>
        <patternFill>
          <bgColor theme="1"/>
        </patternFill>
      </fill>
    </dxf>
    <dxf>
      <font>
        <color theme="0"/>
      </font>
    </dxf>
    <dxf>
      <font>
        <color theme="0"/>
      </font>
    </dxf>
    <dxf>
      <fill>
        <patternFill>
          <bgColor theme="1"/>
        </patternFill>
      </fill>
    </dxf>
    <dxf>
      <fill>
        <patternFill>
          <bgColor theme="1"/>
        </patternFill>
      </fill>
    </dxf>
    <dxf>
      <font>
        <color theme="0"/>
      </font>
    </dxf>
    <dxf>
      <font>
        <color theme="0"/>
      </font>
    </dxf>
    <dxf>
      <fill>
        <patternFill>
          <bgColor theme="0"/>
        </patternFill>
      </fill>
    </dxf>
    <dxf>
      <font>
        <color theme="1"/>
      </font>
    </dxf>
    <dxf>
      <fill>
        <patternFill>
          <bgColor theme="2"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1"/>
        </patternFill>
      </fill>
    </dxf>
    <dxf>
      <fill>
        <patternFill>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fill>
        <patternFill>
          <bgColor theme="0"/>
        </patternFill>
      </fill>
    </dxf>
    <dxf>
      <font>
        <color theme="1"/>
      </font>
    </dxf>
    <dxf>
      <fill>
        <patternFill>
          <bgColor theme="2" tint="-0.499984740745262"/>
        </patternFill>
      </fill>
    </dxf>
    <dxf>
      <fill>
        <patternFill>
          <bgColor theme="2"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1"/>
        </patternFill>
      </fill>
    </dxf>
    <dxf>
      <fill>
        <patternFill>
          <bgColor theme="1"/>
        </patternFill>
      </fill>
    </dxf>
    <dxf>
      <font>
        <color theme="0"/>
      </font>
    </dxf>
    <dxf>
      <font>
        <color theme="0"/>
      </font>
    </dxf>
    <dxf>
      <fill>
        <patternFill>
          <bgColor theme="1"/>
        </patternFill>
      </fill>
    </dxf>
    <dxf>
      <fill>
        <patternFill>
          <bgColor theme="1"/>
        </patternFill>
      </fill>
    </dxf>
    <dxf>
      <font>
        <color theme="0"/>
      </font>
    </dxf>
    <dxf>
      <font>
        <color theme="0"/>
      </font>
    </dxf>
    <dxf>
      <fill>
        <patternFill>
          <bgColor theme="0"/>
        </patternFill>
      </fill>
    </dxf>
    <dxf>
      <font>
        <color theme="1"/>
      </font>
    </dxf>
    <dxf>
      <fill>
        <patternFill>
          <bgColor theme="2"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1"/>
        </patternFill>
      </fill>
    </dxf>
    <dxf>
      <fill>
        <patternFill>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fill>
        <patternFill>
          <bgColor theme="0"/>
        </patternFill>
      </fill>
    </dxf>
    <dxf>
      <font>
        <color theme="1"/>
      </font>
    </dxf>
    <dxf>
      <fill>
        <patternFill>
          <bgColor theme="2" tint="-0.499984740745262"/>
        </patternFill>
      </fill>
    </dxf>
    <dxf>
      <fill>
        <patternFill>
          <bgColor theme="2"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1"/>
        </patternFill>
      </fill>
    </dxf>
    <dxf>
      <fill>
        <patternFill>
          <bgColor theme="1"/>
        </patternFill>
      </fill>
    </dxf>
    <dxf>
      <font>
        <color theme="0"/>
      </font>
    </dxf>
    <dxf>
      <font>
        <color theme="0"/>
      </font>
    </dxf>
    <dxf>
      <fill>
        <patternFill>
          <bgColor theme="1"/>
        </patternFill>
      </fill>
    </dxf>
    <dxf>
      <fill>
        <patternFill>
          <bgColor theme="1"/>
        </patternFill>
      </fill>
    </dxf>
    <dxf>
      <font>
        <color theme="0"/>
      </font>
    </dxf>
    <dxf>
      <font>
        <color theme="0"/>
      </font>
    </dxf>
    <dxf>
      <fill>
        <patternFill>
          <bgColor theme="0"/>
        </patternFill>
      </fill>
    </dxf>
    <dxf>
      <font>
        <color theme="1"/>
      </font>
    </dxf>
    <dxf>
      <fill>
        <patternFill>
          <bgColor theme="2"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1"/>
        </patternFill>
      </fill>
    </dxf>
    <dxf>
      <fill>
        <patternFill>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fill>
        <patternFill>
          <bgColor theme="0"/>
        </patternFill>
      </fill>
    </dxf>
    <dxf>
      <font>
        <color theme="1"/>
      </font>
    </dxf>
    <dxf>
      <fill>
        <patternFill>
          <bgColor theme="2" tint="-0.499984740745262"/>
        </patternFill>
      </fill>
    </dxf>
    <dxf>
      <fill>
        <patternFill>
          <bgColor theme="2"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1"/>
        </patternFill>
      </fill>
    </dxf>
    <dxf>
      <fill>
        <patternFill>
          <bgColor theme="1"/>
        </patternFill>
      </fill>
    </dxf>
    <dxf>
      <font>
        <color theme="0"/>
      </font>
    </dxf>
    <dxf>
      <font>
        <color theme="0"/>
      </font>
    </dxf>
    <dxf>
      <fill>
        <patternFill>
          <bgColor theme="1"/>
        </patternFill>
      </fill>
    </dxf>
    <dxf>
      <fill>
        <patternFill>
          <bgColor theme="1"/>
        </patternFill>
      </fill>
    </dxf>
    <dxf>
      <font>
        <color theme="0"/>
      </font>
    </dxf>
    <dxf>
      <font>
        <color theme="0"/>
      </font>
    </dxf>
    <dxf>
      <fill>
        <patternFill>
          <bgColor theme="0"/>
        </patternFill>
      </fill>
    </dxf>
    <dxf>
      <font>
        <color theme="1"/>
      </font>
    </dxf>
    <dxf>
      <fill>
        <patternFill>
          <bgColor theme="2"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1"/>
        </patternFill>
      </fill>
    </dxf>
    <dxf>
      <fill>
        <patternFill>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fill>
        <patternFill>
          <bgColor theme="0"/>
        </patternFill>
      </fill>
    </dxf>
    <dxf>
      <font>
        <color theme="1"/>
      </font>
    </dxf>
    <dxf>
      <fill>
        <patternFill>
          <bgColor theme="2" tint="-0.499984740745262"/>
        </patternFill>
      </fill>
    </dxf>
    <dxf>
      <fill>
        <patternFill>
          <bgColor theme="2" tint="-0.499984740745262"/>
        </patternFill>
      </fill>
    </dxf>
    <dxf>
      <fill>
        <patternFill>
          <bgColor theme="2" tint="-0.499984740745262"/>
        </patternFill>
      </fill>
    </dxf>
    <dxf>
      <font>
        <color theme="1"/>
      </font>
    </dxf>
    <dxf>
      <fill>
        <patternFill>
          <bgColor theme="0"/>
        </patternFill>
      </fill>
    </dxf>
    <dxf>
      <fill>
        <patternFill>
          <bgColor theme="2" tint="-0.499984740745262"/>
        </patternFill>
      </fill>
    </dxf>
    <dxf>
      <fill>
        <patternFill>
          <bgColor theme="2" tint="-0.499984740745262"/>
        </patternFill>
      </fill>
    </dxf>
    <dxf>
      <font>
        <color theme="1"/>
      </font>
    </dxf>
    <dxf>
      <fill>
        <patternFill>
          <bgColor theme="0"/>
        </patternFill>
      </fill>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fill>
        <patternFill>
          <bgColor theme="1"/>
        </patternFill>
      </fill>
    </dxf>
    <dxf>
      <fill>
        <patternFill>
          <bgColor theme="1"/>
        </patternFill>
      </fill>
    </dxf>
    <dxf>
      <font>
        <color theme="0"/>
      </font>
    </dxf>
    <dxf>
      <font>
        <color theme="0"/>
      </font>
    </dxf>
    <dxf>
      <fill>
        <patternFill>
          <bgColor theme="1"/>
        </patternFill>
      </fill>
    </dxf>
    <dxf>
      <fill>
        <patternFill>
          <bgColor theme="1"/>
        </patternFill>
      </fill>
    </dxf>
    <dxf>
      <font>
        <color theme="0"/>
      </font>
    </dxf>
    <dxf>
      <font>
        <color theme="0"/>
      </font>
    </dxf>
    <dxf>
      <fill>
        <patternFill>
          <bgColor theme="1"/>
        </patternFill>
      </fill>
    </dxf>
    <dxf>
      <fill>
        <patternFill>
          <bgColor theme="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pivotCacheDefinition" Target="/xl/pivotCache/pivotCacheDefinition1.xml" Id="rId14"/><Relationship Type="http://schemas.openxmlformats.org/officeDocument/2006/relationships/pivotCacheDefinition" Target="/xl/pivotCache/pivotCacheDefinition2.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pivotSource>
    <name>[CSJ_Dashboard_Finalist.xlsx]Raw Data!PivotTable3</name>
    <fmtId val="6"/>
  </pivotSource>
  <chart>
    <pivotFmts>
      <pivotFmt>
        <idx val="0"/>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
        <idx val="1"/>
        <spPr>
          <a:ln xmlns:a="http://schemas.openxmlformats.org/drawingml/2006/main" w="28575" cap="rnd">
            <a:solidFill>
              <a:schemeClr val="accent1"/>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lineChart>
        <grouping val="stacked"/>
        <varyColors val="0"/>
        <ser>
          <idx val="0"/>
          <order val="0"/>
          <tx>
            <strRef>
              <f>'Raw Data'!$B$153</f>
              <strCache>
                <ptCount val="1"/>
                <pt idx="0">
                  <v>Sum of 人数目標</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'Raw Data'!$A$154:$A$156</f>
              <strCache>
                <ptCount val="2"/>
                <pt idx="0">
                  <v>上期</v>
                </pt>
                <pt idx="1">
                  <v>下期</v>
                </pt>
              </strCache>
            </strRef>
          </cat>
          <val>
            <numRef>
              <f>'Raw Data'!$B$154:$B$156</f>
              <numCache>
                <formatCode>General</formatCode>
                <ptCount val="2"/>
                <pt idx="0">
                  <v>90</v>
                </pt>
                <pt idx="1">
                  <v>90</v>
                </pt>
              </numCache>
            </numRef>
          </val>
          <smooth val="0"/>
        </ser>
        <ser>
          <idx val="1"/>
          <order val="1"/>
          <tx>
            <strRef>
              <f>'Raw Data'!$C$153</f>
              <strCache>
                <ptCount val="1"/>
                <pt idx="0">
                  <v>Sum of 人数実績</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strRef>
              <f>'Raw Data'!$A$154:$A$156</f>
              <strCache>
                <ptCount val="2"/>
                <pt idx="0">
                  <v>上期</v>
                </pt>
                <pt idx="1">
                  <v>下期</v>
                </pt>
              </strCache>
            </strRef>
          </cat>
          <val>
            <numRef>
              <f>'Raw Data'!$C$154:$C$156</f>
              <numCache>
                <formatCode>General</formatCode>
                <ptCount val="2"/>
                <pt idx="0">
                  <v>102</v>
                </pt>
                <pt idx="1">
                  <v>37</v>
                </pt>
              </numCache>
            </numRef>
          </val>
          <smooth val="0"/>
        </ser>
        <dLbls>
          <showLegendKey val="0"/>
          <showVal val="0"/>
          <showCatName val="0"/>
          <showSerName val="0"/>
          <showPercent val="0"/>
          <showBubbleSize val="0"/>
        </dLbls>
        <marker val="1"/>
        <smooth val="0"/>
        <axId val="168237407"/>
        <axId val="168248927"/>
      </lineChart>
      <catAx>
        <axId val="1682374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68248927"/>
        <crosses val="autoZero"/>
        <auto val="1"/>
        <lblAlgn val="ctr"/>
        <lblOffset val="100"/>
        <noMultiLvlLbl val="0"/>
      </catAx>
      <valAx>
        <axId val="16824892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68237407"/>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zero"/>
  </chart>
</chartSpace>
</file>

<file path=xl/charts/chart2.xml><?xml version="1.0" encoding="utf-8"?>
<chartSpace xmlns="http://schemas.openxmlformats.org/drawingml/2006/chart">
  <pivotSource>
    <name>[CSJ_Dashboard_Finalist.xlsx]all!PivotTable7</name>
    <fmtId val="3"/>
  </pivotSource>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500" b="1" i="0" strike="noStrike" kern="1200" cap="all" spc="100" normalizeH="0" baseline="0">
                <a:solidFill>
                  <a:schemeClr val="lt1"/>
                </a:solidFill>
                <a:latin typeface="+mn-lt"/>
                <a:ea typeface="+mn-ea"/>
                <a:cs typeface="+mn-cs"/>
              </a:defRPr>
            </a:pPr>
            <a:r>
              <a:rPr lang="ja-JP"/>
              <a:t>月別 実績 推移</a:t>
            </a:r>
            <a:endParaRPr lang="en-U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500" b="1" i="0" strike="noStrike" kern="1200" cap="all" spc="100" normalizeH="0" baseline="0">
              <a:solidFill>
                <a:schemeClr val="lt1"/>
              </a:solidFill>
              <a:latin typeface="+mn-lt"/>
              <a:ea typeface="+mn-ea"/>
              <a:cs typeface="+mn-cs"/>
            </a:defRPr>
          </a:pPr>
          <a:r>
            <a:t/>
          </a:r>
          <a:endParaRPr lang="en-US"/>
        </a:p>
      </txPr>
    </title>
    <pivotFmts>
      <pivotFmt>
        <idx val="0"/>
        <dLbl>
          <idx val="0"/>
          <showLegendKey val="0"/>
          <showVal val="0"/>
          <showCatName val="0"/>
          <showSerName val="0"/>
          <showPercent val="0"/>
          <showBubbleSize val="0"/>
        </dLbl>
      </pivotFmt>
      <pivotFmt>
        <idx val="1"/>
        <dLbl>
          <idx val="0"/>
          <showLegendKey val="0"/>
          <showVal val="0"/>
          <showCatName val="0"/>
          <showSerName val="0"/>
          <showPercent val="0"/>
          <showBubbleSize val="0"/>
        </dLbl>
      </pivotFmt>
      <pivotFmt>
        <idx val="2"/>
        <spPr>
          <a:ln xmlns:a="http://schemas.openxmlformats.org/drawingml/2006/main" w="34925" cap="rnd">
            <a:solidFill>
              <a:schemeClr val="lt1"/>
            </a:solidFill>
            <a:prstDash val="solid"/>
            <a:round/>
          </a:ln>
        </spPr>
        <marker>
          <symbol val="circle"/>
          <size val="5"/>
          <spPr>
            <a:solidFill xmlns:a="http://schemas.openxmlformats.org/drawingml/2006/main">
              <a:schemeClr val="accent1"/>
            </a:solidFill>
            <a:ln xmlns:a="http://schemas.openxmlformats.org/drawingml/2006/main" w="22225">
              <a:solidFill>
                <a:schemeClr val="lt1"/>
              </a:solidFill>
              <a:prstDash val="solid"/>
              <a:round/>
            </a:ln>
          </spPr>
        </marker>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showLegendKey val="0"/>
          <showVal val="0"/>
          <showCatName val="0"/>
          <showSerName val="0"/>
          <showPercent val="0"/>
          <showBubbleSize val="0"/>
        </dLbl>
      </pivotFmt>
    </pivotFmts>
    <plotArea>
      <layout/>
      <lineChart>
        <grouping val="standard"/>
        <varyColors val="0"/>
        <ser>
          <idx val="0"/>
          <order val="0"/>
          <tx>
            <strRef>
              <f>all!$B$11</f>
              <strCache>
                <ptCount val="1"/>
                <pt idx="0">
                  <v>Total</v>
                </pt>
              </strCache>
            </strRef>
          </tx>
          <spPr>
            <a:ln xmlns:a="http://schemas.openxmlformats.org/drawingml/2006/main" w="34925" cap="rnd">
              <a:solidFill>
                <a:schemeClr val="lt1"/>
              </a:solidFill>
              <a:prstDash val="solid"/>
              <a:round/>
            </a:ln>
          </spPr>
          <marker>
            <symbol val="circle"/>
            <size val="5"/>
            <spPr>
              <a:solidFill xmlns:a="http://schemas.openxmlformats.org/drawingml/2006/main">
                <a:schemeClr val="accent1"/>
              </a:solidFill>
              <a:ln xmlns:a="http://schemas.openxmlformats.org/drawingml/2006/main" w="22225">
                <a:solidFill>
                  <a:schemeClr val="lt1"/>
                </a:solidFill>
                <a:prstDash val="solid"/>
                <a:round/>
              </a:ln>
            </spPr>
          </marker>
          <cat>
            <strRef>
              <f>all!$A$12:$A$25</f>
              <strCache>
                <ptCount val="13"/>
                <pt idx="0">
                  <v>10月</v>
                </pt>
                <pt idx="1">
                  <v>11月</v>
                </pt>
                <pt idx="2">
                  <v>12月</v>
                </pt>
                <pt idx="3">
                  <v>1月</v>
                </pt>
                <pt idx="4">
                  <v>2月</v>
                </pt>
                <pt idx="5">
                  <v>3月</v>
                </pt>
                <pt idx="6">
                  <v>4月</v>
                </pt>
                <pt idx="7">
                  <v>5月</v>
                </pt>
                <pt idx="8">
                  <v>6月</v>
                </pt>
                <pt idx="9">
                  <v>7月</v>
                </pt>
                <pt idx="10">
                  <v>8月</v>
                </pt>
                <pt idx="11">
                  <v>9月</v>
                </pt>
                <pt idx="12">
                  <v>総計</v>
                </pt>
              </strCache>
            </strRef>
          </cat>
          <val>
            <numRef>
              <f>all!$B$12:$B$25</f>
              <numCache>
                <formatCode>General</formatCode>
                <ptCount val="13"/>
                <pt idx="0">
                  <v>7117</v>
                </pt>
                <pt idx="1">
                  <v>8685</v>
                </pt>
                <pt idx="2">
                  <v>0</v>
                </pt>
                <pt idx="3">
                  <v>0</v>
                </pt>
                <pt idx="4">
                  <v>0</v>
                </pt>
                <pt idx="5">
                  <v>0</v>
                </pt>
                <pt idx="6">
                  <v>7388</v>
                </pt>
                <pt idx="7">
                  <v>10419</v>
                </pt>
                <pt idx="8">
                  <v>10937</v>
                </pt>
                <pt idx="9">
                  <v>6494</v>
                </pt>
                <pt idx="10">
                  <v>7664</v>
                </pt>
                <pt idx="11">
                  <v>7512</v>
                </pt>
                <pt idx="12">
                  <v>64978</v>
                </pt>
              </numCache>
            </numRef>
          </val>
          <smooth val="0"/>
        </ser>
        <dLbls>
          <showLegendKey val="0"/>
          <showVal val="0"/>
          <showCatName val="0"/>
          <showSerName val="0"/>
          <showPercent val="0"/>
          <showBubbleSize val="0"/>
        </dLbls>
        <dropLines>
          <spPr>
            <a:ln xmlns:a="http://schemas.openxmlformats.org/drawingml/2006/main" w="9525" cap="flat" cmpd="sng" algn="ctr">
              <a:gradFill>
                <a:gsLst>
                  <a:gs pos="0">
                    <a:schemeClr val="lt1"/>
                  </a:gs>
                  <a:gs pos="100000">
                    <a:schemeClr val="lt1">
                      <a:alpha val="0"/>
                    </a:schemeClr>
                  </a:gs>
                </a:gsLst>
                <a:lin ang="5400000" scaled="0"/>
              </a:gradFill>
              <a:prstDash val="solid"/>
              <a:round/>
            </a:ln>
          </spPr>
        </dropLines>
        <marker val="1"/>
        <smooth val="0"/>
        <axId val="1146707472"/>
        <axId val="1146706992"/>
      </lineChart>
      <catAx>
        <axId val="1146707472"/>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2700" cap="flat" cmpd="sng" algn="ctr">
            <a:solidFill>
              <a:schemeClr val="lt1"/>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spc="100" baseline="0">
                <a:solidFill>
                  <a:schemeClr val="lt1"/>
                </a:solidFill>
                <a:latin typeface="+mn-lt"/>
                <a:ea typeface="+mn-ea"/>
                <a:cs typeface="+mn-cs"/>
              </a:defRPr>
            </a:pPr>
            <a:r>
              <a:t/>
            </a:r>
            <a:endParaRPr lang="en-US"/>
          </a:p>
        </txPr>
        <crossAx val="1146706992"/>
        <crosses val="autoZero"/>
        <auto val="1"/>
        <lblAlgn val="ctr"/>
        <lblOffset val="100"/>
        <noMultiLvlLbl val="0"/>
      </catAx>
      <valAx>
        <axId val="1146706992"/>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lt1"/>
                </a:solidFill>
                <a:latin typeface="+mn-lt"/>
                <a:ea typeface="+mn-ea"/>
                <a:cs typeface="+mn-cs"/>
              </a:defRPr>
            </a:pPr>
            <a:r>
              <a:t/>
            </a:r>
            <a:endParaRPr lang="en-US"/>
          </a:p>
        </txPr>
        <crossAx val="1146707472"/>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lt1"/>
              </a:solidFill>
              <a:latin typeface="+mn-lt"/>
              <a:ea typeface="+mn-ea"/>
              <a:cs typeface="+mn-cs"/>
            </a:defRPr>
          </a:pPr>
          <a:r>
            <a:t/>
          </a:r>
          <a:endParaRPr lang="en-US"/>
        </a:p>
      </txPr>
    </legend>
    <plotVisOnly val="1"/>
    <dispBlanksAs val="gap"/>
  </chart>
</chartSpace>
</file>

<file path=xl/charts/chart3.xml><?xml version="1.0" encoding="utf-8"?>
<chartSpace xmlns="http://schemas.openxmlformats.org/drawingml/2006/chart">
  <pivotSource>
    <name>[CSJ_Dashboard_Finalist.xlsx]all!PivotTable8</name>
    <fmtId val="3"/>
  </pivotSource>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baseline="0">
                <a:solidFill>
                  <a:schemeClr val="tx1">
                    <a:lumMod val="65000"/>
                    <a:lumOff val="35000"/>
                  </a:schemeClr>
                </a:solidFill>
                <a:latin typeface="+mn-lt"/>
                <a:ea typeface="+mn-ea"/>
                <a:cs typeface="+mn-cs"/>
              </a:defRPr>
            </a:pPr>
            <a:r>
              <a:rPr lang="en-US"/>
              <a:t>KPI</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baseline="0">
              <a:solidFill>
                <a:schemeClr val="tx1">
                  <a:lumMod val="65000"/>
                  <a:lumOff val="35000"/>
                </a:schemeClr>
              </a:solidFill>
              <a:latin typeface="+mn-lt"/>
              <a:ea typeface="+mn-ea"/>
              <a:cs typeface="+mn-cs"/>
            </a:defRPr>
          </a:pPr>
          <a:r>
            <a:t/>
          </a:r>
          <a:endParaRPr lang="en-US"/>
        </a:p>
      </txPr>
    </title>
    <pivotFmts>
      <pivotFmt>
        <idx val="0"/>
        <dLbl>
          <idx val="0"/>
          <showLegendKey val="0"/>
          <showVal val="0"/>
          <showCatName val="0"/>
          <showSerName val="0"/>
          <showPercent val="0"/>
          <showBubbleSize val="0"/>
        </dLbl>
      </pivotFmt>
      <pivotFmt>
        <idx val="1"/>
        <dLbl>
          <idx val="0"/>
          <showLegendKey val="0"/>
          <showVal val="0"/>
          <showCatName val="0"/>
          <showSerName val="0"/>
          <showPercent val="0"/>
          <showBubbleSize val="0"/>
        </dLbl>
      </pivotFmt>
      <pivotFmt>
        <idx val="2"/>
        <dLbl>
          <idx val="0"/>
          <showLegendKey val="0"/>
          <showVal val="0"/>
          <showCatName val="0"/>
          <showSerName val="0"/>
          <showPercent val="0"/>
          <showBubbleSize val="0"/>
        </dLbl>
      </pivotFmt>
      <pivotFmt>
        <idx val="3"/>
        <dLbl>
          <idx val="0"/>
          <showLegendKey val="0"/>
          <showVal val="0"/>
          <showCatName val="0"/>
          <showSerName val="0"/>
          <showPercent val="0"/>
          <showBubbleSize val="0"/>
        </dLbl>
      </pivotFmt>
      <pivotFmt>
        <idx val="4"/>
        <dLbl>
          <idx val="0"/>
          <showLegendKey val="0"/>
          <showVal val="0"/>
          <showCatName val="0"/>
          <showSerName val="0"/>
          <showPercent val="0"/>
          <showBubbleSize val="0"/>
        </dLbl>
      </pivotFmt>
      <pivotFmt>
        <idx val="5"/>
        <dLbl>
          <idx val="0"/>
          <showLegendKey val="0"/>
          <showVal val="0"/>
          <showCatName val="0"/>
          <showSerName val="0"/>
          <showPercent val="0"/>
          <showBubbleSize val="0"/>
        </dLbl>
      </pivotFmt>
      <pivotFmt>
        <idx val="6"/>
        <spPr>
          <a:gradFill xmlns:a="http://schemas.openxmlformats.org/drawingml/2006/main"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xmlns:a="http://schemas.openxmlformats.org/drawingml/2006/main">
            <a:noFill/>
            <a:prstDash val="solid"/>
          </a:ln>
        </spPr>
        <marker>
          <symbol val="diamond"/>
          <size val="5"/>
          <spPr>
            <a:gradFill xmlns:a="http://schemas.openxmlformats.org/drawingml/2006/main"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xmlns:a="http://schemas.openxmlformats.org/drawingml/2006/main" w="9525">
              <a:solidFill>
                <a:schemeClr val="accent1"/>
              </a:solidFill>
              <a:prstDash val="solid"/>
              <a:round/>
            </a:ln>
          </spPr>
        </marker>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pivotFmt>
      <pivotFmt>
        <idx val="7"/>
        <spPr>
          <a:gradFill xmlns:a="http://schemas.openxmlformats.org/drawingml/2006/main"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xmlns:a="http://schemas.openxmlformats.org/drawingml/2006/main">
            <a:noFill/>
            <a:prstDash val="solid"/>
          </a:ln>
        </spPr>
        <marker>
          <symbol val="square"/>
          <size val="5"/>
          <spPr>
            <a:gradFill xmlns:a="http://schemas.openxmlformats.org/drawingml/2006/main"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xmlns:a="http://schemas.openxmlformats.org/drawingml/2006/main" w="9525">
              <a:solidFill>
                <a:schemeClr val="accent2"/>
              </a:solidFill>
              <a:prstDash val="solid"/>
              <a:round/>
            </a:ln>
          </spPr>
        </marker>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pivotFmt>
      <pivotFmt>
        <idx val="8"/>
        <spPr>
          <a:gradFill xmlns:a="http://schemas.openxmlformats.org/drawingml/2006/main"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xmlns:a="http://schemas.openxmlformats.org/drawingml/2006/main">
            <a:noFill/>
            <a:prstDash val="solid"/>
          </a:ln>
        </spPr>
        <marker>
          <symbol val="triangle"/>
          <size val="5"/>
          <spPr>
            <a:gradFill xmlns:a="http://schemas.openxmlformats.org/drawingml/2006/main"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xmlns:a="http://schemas.openxmlformats.org/drawingml/2006/main" w="9525">
              <a:solidFill>
                <a:schemeClr val="accent3"/>
              </a:solidFill>
              <a:prstDash val="solid"/>
              <a:round/>
            </a:ln>
          </spPr>
        </marker>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pivotFmt>
    </pivotFmts>
    <plotArea>
      <layout/>
      <barChart>
        <barDir val="bar"/>
        <grouping val="clustered"/>
        <varyColors val="0"/>
        <ser>
          <idx val="0"/>
          <order val="0"/>
          <tx>
            <strRef>
              <f>all!$B$27</f>
              <strCache>
                <ptCount val="1"/>
                <pt idx="0">
                  <v>Sum of 目標</v>
                </pt>
              </strCache>
            </strRef>
          </tx>
          <spPr>
            <a:gradFill xmlns:a="http://schemas.openxmlformats.org/drawingml/2006/main"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strRef>
              <f>all!$A$28:$A$32</f>
              <strCache>
                <ptCount val="4"/>
                <pt idx="0">
                  <v>内部</v>
                </pt>
                <pt idx="1">
                  <v>外部</v>
                </pt>
                <pt idx="2">
                  <v>外部小計</v>
                </pt>
                <pt idx="3">
                  <v>試験対策</v>
                </pt>
              </strCache>
            </strRef>
          </cat>
          <val>
            <numRef>
              <f>all!$B$28:$B$32</f>
              <numCache>
                <formatCode>General</formatCode>
                <ptCount val="4"/>
                <pt idx="0">
                  <v>54000</v>
                </pt>
                <pt idx="1">
                  <v>13200</v>
                </pt>
                <pt idx="2">
                  <v>201600</v>
                </pt>
                <pt idx="3">
                  <v>2800</v>
                </pt>
              </numCache>
            </numRef>
          </val>
        </ser>
        <ser>
          <idx val="1"/>
          <order val="1"/>
          <tx>
            <strRef>
              <f>all!$C$27</f>
              <strCache>
                <ptCount val="1"/>
                <pt idx="0">
                  <v>Sum of 実績</v>
                </pt>
              </strCache>
            </strRef>
          </tx>
          <spPr>
            <a:gradFill xmlns:a="http://schemas.openxmlformats.org/drawingml/2006/main"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trendline>
            <spPr>
              <a:ln xmlns:a="http://schemas.openxmlformats.org/drawingml/2006/main" w="19050" cap="rnd">
                <a:solidFill>
                  <a:schemeClr val="accent2"/>
                </a:solidFill>
                <a:prstDash val="solid"/>
              </a:ln>
            </spPr>
            <trendlineType val="linear"/>
            <dispRSqr val="0"/>
            <dispEq val="0"/>
          </trendline>
          <cat>
            <strRef>
              <f>all!$A$28:$A$32</f>
              <strCache>
                <ptCount val="4"/>
                <pt idx="0">
                  <v>内部</v>
                </pt>
                <pt idx="1">
                  <v>外部</v>
                </pt>
                <pt idx="2">
                  <v>外部小計</v>
                </pt>
                <pt idx="3">
                  <v>試験対策</v>
                </pt>
              </strCache>
            </strRef>
          </cat>
          <val>
            <numRef>
              <f>all!$C$28:$C$32</f>
              <numCache>
                <formatCode>General</formatCode>
                <ptCount val="4"/>
                <pt idx="0">
                  <v>29790</v>
                </pt>
                <pt idx="1">
                  <v>2699</v>
                </pt>
                <pt idx="2">
                  <v>97467</v>
                </pt>
                <pt idx="3">
                  <v>1238</v>
                </pt>
              </numCache>
            </numRef>
          </val>
        </ser>
        <ser>
          <idx val="2"/>
          <order val="2"/>
          <tx>
            <strRef>
              <f>all!$D$27</f>
              <strCache>
                <ptCount val="1"/>
                <pt idx="0">
                  <v>Sum of 達成率</v>
                </pt>
              </strCache>
            </strRef>
          </tx>
          <spPr>
            <a:gradFill xmlns:a="http://schemas.openxmlformats.org/drawingml/2006/main"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strRef>
              <f>all!$A$28:$A$32</f>
              <strCache>
                <ptCount val="4"/>
                <pt idx="0">
                  <v>内部</v>
                </pt>
                <pt idx="1">
                  <v>外部</v>
                </pt>
                <pt idx="2">
                  <v>外部小計</v>
                </pt>
                <pt idx="3">
                  <v>試験対策</v>
                </pt>
              </strCache>
            </strRef>
          </cat>
          <val>
            <numRef>
              <f>all!$D$28:$D$32</f>
              <numCache>
                <formatCode>General</formatCode>
                <ptCount val="4"/>
                <pt idx="0">
                  <v>12.88666666666667</v>
                </pt>
                <pt idx="1">
                  <v>2.737777777777778</v>
                </pt>
                <pt idx="2">
                  <v>7.25200892857143</v>
                </pt>
                <pt idx="3">
                  <v>2.2425</v>
                </pt>
              </numCache>
            </numRef>
          </val>
        </ser>
        <dLbls>
          <dLblPos val="outEnd"/>
          <showLegendKey val="0"/>
          <showVal val="1"/>
          <showCatName val="0"/>
          <showSerName val="0"/>
          <showPercent val="0"/>
          <showBubbleSize val="0"/>
        </dLbls>
        <gapWidth val="115"/>
        <overlap val="-20"/>
        <axId val="934981680"/>
        <axId val="934986000"/>
      </barChart>
      <catAx>
        <axId val="934981680"/>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12700"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934986000"/>
        <crosses val="autoZero"/>
        <auto val="1"/>
        <lblAlgn val="ctr"/>
        <lblOffset val="100"/>
        <noMultiLvlLbl val="0"/>
      </catAx>
      <valAx>
        <axId val="934986000"/>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934981680"/>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chartSpace>
</file>

<file path=xl/charts/chart4.xml><?xml version="1.0" encoding="utf-8"?>
<chartSpace xmlns="http://schemas.openxmlformats.org/drawingml/2006/chart">
  <pivotSource>
    <name>[CSJ_Dashboard_Finalist.xlsx]DASHBOARD!PivotTable9</name>
    <fmtId val="3"/>
  </pivotSource>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ja-JP"/>
              <a:t xml:space="preserve">目標 </a:t>
            </a:r>
            <a:r>
              <a:rPr lang="en-US"/>
              <a:t xml:space="preserve">vs </a:t>
            </a:r>
            <a:r>
              <a:rPr lang="ja-JP"/>
              <a:t>実績</a:t>
            </a:r>
            <a:endParaRPr lang="en-U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ivotFmts>
      <pivotFmt>
        <idx val="0"/>
        <dLbl>
          <idx val="0"/>
          <showLegendKey val="0"/>
          <showVal val="0"/>
          <showCatName val="0"/>
          <showSerName val="0"/>
          <showPercent val="0"/>
          <showBubbleSize val="0"/>
        </dLbl>
      </pivotFmt>
      <pivotFmt>
        <idx val="1"/>
        <dLbl>
          <idx val="0"/>
          <showLegendKey val="0"/>
          <showVal val="0"/>
          <showCatName val="0"/>
          <showSerName val="0"/>
          <showPercent val="0"/>
          <showBubbleSize val="0"/>
        </dLbl>
      </pivotFmt>
      <pivotFmt>
        <idx val="2"/>
        <dLbl>
          <idx val="0"/>
          <showLegendKey val="0"/>
          <showVal val="0"/>
          <showCatName val="0"/>
          <showSerName val="0"/>
          <showPercent val="0"/>
          <showBubbleSize val="0"/>
        </dLbl>
      </pivotFmt>
      <pivotFmt>
        <idx val="3"/>
        <dLbl>
          <idx val="0"/>
          <showLegendKey val="0"/>
          <showVal val="0"/>
          <showCatName val="0"/>
          <showSerName val="0"/>
          <showPercent val="0"/>
          <showBubbleSize val="0"/>
        </dLbl>
      </pivotFmt>
      <pivotFmt>
        <idx val="4"/>
        <spPr>
          <a:solidFill xmlns:a="http://schemas.openxmlformats.org/drawingml/2006/main">
            <a:schemeClr val="accent1"/>
          </a:solidFill>
          <a:ln xmlns:a="http://schemas.openxmlformats.org/drawingml/2006/main">
            <a:noFill/>
            <a:prstDash val="soli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0"/>
          <showCatName val="0"/>
          <showSerName val="0"/>
          <showPercent val="0"/>
          <showBubbleSize val="0"/>
        </dLbl>
      </pivotFmt>
      <pivotFmt>
        <idx val="5"/>
        <spPr>
          <a:solidFill xmlns:a="http://schemas.openxmlformats.org/drawingml/2006/main">
            <a:schemeClr val="accent1"/>
          </a:solidFill>
          <a:ln xmlns:a="http://schemas.openxmlformats.org/drawingml/2006/main">
            <a:noFill/>
            <a:prstDash val="soli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0"/>
          <showCatName val="0"/>
          <showSerName val="0"/>
          <showPercent val="0"/>
          <showBubbleSize val="0"/>
        </dLbl>
      </pivotFmt>
    </pivotFmts>
    <plotArea>
      <layout/>
      <barChart>
        <barDir val="col"/>
        <grouping val="clustered"/>
        <varyColors val="0"/>
        <ser>
          <idx val="0"/>
          <order val="0"/>
          <tx>
            <strRef>
              <f>DASHBOARD!$B$14</f>
              <strCache>
                <ptCount val="1"/>
                <pt idx="0">
                  <v>Sum of 目標</v>
                </pt>
              </strCache>
            </strRef>
          </tx>
          <spPr>
            <a:solidFill xmlns:a="http://schemas.openxmlformats.org/drawingml/2006/main">
              <a:schemeClr val="accent1"/>
            </a:solidFill>
            <a:ln xmlns:a="http://schemas.openxmlformats.org/drawingml/2006/main">
              <a:noFill/>
              <a:prstDash val="solid"/>
            </a:ln>
          </spPr>
          <invertIfNegative val="0"/>
          <cat>
            <strRef>
              <f>DASHBOARD!$A$15:$A$28</f>
              <strCache>
                <ptCount val="13"/>
                <pt idx="0">
                  <v>10月</v>
                </pt>
                <pt idx="1">
                  <v>11月</v>
                </pt>
                <pt idx="2">
                  <v>12月</v>
                </pt>
                <pt idx="3">
                  <v>1月</v>
                </pt>
                <pt idx="4">
                  <v>2月</v>
                </pt>
                <pt idx="5">
                  <v>3月</v>
                </pt>
                <pt idx="6">
                  <v>4月</v>
                </pt>
                <pt idx="7">
                  <v>5月</v>
                </pt>
                <pt idx="8">
                  <v>6月</v>
                </pt>
                <pt idx="9">
                  <v>7月</v>
                </pt>
                <pt idx="10">
                  <v>8月</v>
                </pt>
                <pt idx="11">
                  <v>9月</v>
                </pt>
                <pt idx="12">
                  <v>総計</v>
                </pt>
              </strCache>
            </strRef>
          </cat>
          <val>
            <numRef>
              <f>DASHBOARD!$B$15:$B$28</f>
              <numCache>
                <formatCode>General</formatCode>
                <ptCount val="13"/>
                <pt idx="0">
                  <v>11600</v>
                </pt>
                <pt idx="1">
                  <v>11600</v>
                </pt>
                <pt idx="2">
                  <v>11200</v>
                </pt>
                <pt idx="3">
                  <v>11600</v>
                </pt>
                <pt idx="4">
                  <v>11200</v>
                </pt>
                <pt idx="5">
                  <v>11600</v>
                </pt>
                <pt idx="6">
                  <v>11200</v>
                </pt>
                <pt idx="7">
                  <v>11600</v>
                </pt>
                <pt idx="8">
                  <v>11200</v>
                </pt>
                <pt idx="9">
                  <v>11600</v>
                </pt>
                <pt idx="10">
                  <v>11200</v>
                </pt>
                <pt idx="11">
                  <v>11600</v>
                </pt>
                <pt idx="12">
                  <v>134400</v>
                </pt>
              </numCache>
            </numRef>
          </val>
        </ser>
        <ser>
          <idx val="1"/>
          <order val="1"/>
          <tx>
            <strRef>
              <f>DASHBOARD!$C$14</f>
              <strCache>
                <ptCount val="1"/>
                <pt idx="0">
                  <v>Sum of 実績</v>
                </pt>
              </strCache>
            </strRef>
          </tx>
          <spPr>
            <a:solidFill xmlns:a="http://schemas.openxmlformats.org/drawingml/2006/main">
              <a:schemeClr val="accent2"/>
            </a:solidFill>
            <a:ln xmlns:a="http://schemas.openxmlformats.org/drawingml/2006/main">
              <a:noFill/>
              <a:prstDash val="solid"/>
            </a:ln>
          </spPr>
          <invertIfNegative val="0"/>
          <trendline>
            <spPr>
              <a:ln xmlns:a="http://schemas.openxmlformats.org/drawingml/2006/main" w="19050" cap="rnd">
                <a:solidFill>
                  <a:schemeClr val="accent2"/>
                </a:solidFill>
                <a:prstDash val="sysDot"/>
              </a:ln>
            </spPr>
            <trendlineType val="linear"/>
            <dispRSqr val="0"/>
            <dispEq val="0"/>
          </trendline>
          <cat>
            <strRef>
              <f>DASHBOARD!$A$15:$A$28</f>
              <strCache>
                <ptCount val="13"/>
                <pt idx="0">
                  <v>10月</v>
                </pt>
                <pt idx="1">
                  <v>11月</v>
                </pt>
                <pt idx="2">
                  <v>12月</v>
                </pt>
                <pt idx="3">
                  <v>1月</v>
                </pt>
                <pt idx="4">
                  <v>2月</v>
                </pt>
                <pt idx="5">
                  <v>3月</v>
                </pt>
                <pt idx="6">
                  <v>4月</v>
                </pt>
                <pt idx="7">
                  <v>5月</v>
                </pt>
                <pt idx="8">
                  <v>6月</v>
                </pt>
                <pt idx="9">
                  <v>7月</v>
                </pt>
                <pt idx="10">
                  <v>8月</v>
                </pt>
                <pt idx="11">
                  <v>9月</v>
                </pt>
                <pt idx="12">
                  <v>総計</v>
                </pt>
              </strCache>
            </strRef>
          </cat>
          <val>
            <numRef>
              <f>DASHBOARD!$C$15:$C$28</f>
              <numCache>
                <formatCode>General</formatCode>
                <ptCount val="13"/>
                <pt idx="0">
                  <v>7117</v>
                </pt>
                <pt idx="1">
                  <v>8685</v>
                </pt>
                <pt idx="2">
                  <v>0</v>
                </pt>
                <pt idx="3">
                  <v>0</v>
                </pt>
                <pt idx="4">
                  <v>0</v>
                </pt>
                <pt idx="5">
                  <v>0</v>
                </pt>
                <pt idx="6">
                  <v>7388</v>
                </pt>
                <pt idx="7">
                  <v>10419</v>
                </pt>
                <pt idx="8">
                  <v>10937</v>
                </pt>
                <pt idx="9">
                  <v>6494</v>
                </pt>
                <pt idx="10">
                  <v>7664</v>
                </pt>
                <pt idx="11">
                  <v>7512</v>
                </pt>
                <pt idx="12">
                  <v>64978</v>
                </pt>
              </numCache>
            </numRef>
          </val>
        </ser>
        <dLbls>
          <dLblPos val="outEnd"/>
          <showLegendKey val="0"/>
          <showVal val="0"/>
          <showCatName val="0"/>
          <showSerName val="0"/>
          <showPercent val="0"/>
          <showBubbleSize val="0"/>
        </dLbls>
        <gapWidth val="219"/>
        <overlap val="-27"/>
        <axId val="862203776"/>
        <axId val="862205216"/>
      </barChart>
      <catAx>
        <axId val="86220377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862205216"/>
        <crosses val="autoZero"/>
        <auto val="1"/>
        <lblAlgn val="ctr"/>
        <lblOffset val="100"/>
        <noMultiLvlLbl val="0"/>
      </catAx>
      <valAx>
        <axId val="862205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862203776"/>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chartSpace>
</file>

<file path=xl/charts/chart5.xml><?xml version="1.0" encoding="utf-8"?>
<chartSpace xmlns="http://schemas.openxmlformats.org/drawingml/2006/chart">
  <pivotSource>
    <name>[CSJ_Dashboard_Finalist.xlsx]Raw Data!PivotTable3</name>
    <fmtId val="10"/>
  </pivotSource>
  <chart>
    <title>
      <tx>
        <rich>
          <a:bodyPr xmlns:a="http://schemas.openxmlformats.org/drawingml/2006/main"/>
          <a:p xmlns:a="http://schemas.openxmlformats.org/drawingml/2006/main">
            <a:r>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baseline="0">
              <a:solidFill>
                <a:schemeClr val="tx1">
                  <a:lumMod val="65000"/>
                  <a:lumOff val="35000"/>
                </a:schemeClr>
              </a:solidFill>
              <a:latin typeface="+mn-lt"/>
              <a:ea typeface="+mn-ea"/>
              <a:cs typeface="+mn-cs"/>
            </a:defRPr>
          </a:pPr>
          <a:r>
            <a:t/>
          </a:r>
          <a:endParaRPr lang="en-US"/>
        </a:p>
      </txPr>
    </title>
    <pivotFmts>
      <pivotFmt>
        <idx val="0"/>
        <dLbl>
          <idx val="0"/>
          <showLegendKey val="0"/>
          <showVal val="0"/>
          <showCatName val="0"/>
          <showSerName val="0"/>
          <showPercent val="0"/>
          <showBubbleSize val="0"/>
        </dLbl>
      </pivotFmt>
      <pivotFmt>
        <idx val="1"/>
        <dLbl>
          <idx val="0"/>
          <showLegendKey val="0"/>
          <showVal val="0"/>
          <showCatName val="0"/>
          <showSerName val="0"/>
          <showPercent val="0"/>
          <showBubbleSize val="0"/>
        </dLbl>
      </pivotFmt>
      <pivotFmt>
        <idx val="2"/>
        <dLbl>
          <idx val="0"/>
          <showLegendKey val="0"/>
          <showVal val="0"/>
          <showCatName val="0"/>
          <showSerName val="0"/>
          <showPercent val="0"/>
          <showBubbleSize val="0"/>
        </dLbl>
      </pivotFmt>
      <pivotFmt>
        <idx val="3"/>
        <dLbl>
          <idx val="0"/>
          <showLegendKey val="0"/>
          <showVal val="0"/>
          <showCatName val="0"/>
          <showSerName val="0"/>
          <showPercent val="0"/>
          <showBubbleSize val="0"/>
        </dLbl>
      </pivotFmt>
      <pivotFmt>
        <idx val="4"/>
        <spPr>
          <a:ln xmlns:a="http://schemas.openxmlformats.org/drawingml/2006/main" w="34925" cap="rnd">
            <a:solidFill>
              <a:schemeClr val="accent1"/>
            </a:solidFill>
            <a:prstDash val="solid"/>
            <a:round/>
          </a:ln>
        </spPr>
        <marker>
          <symbol val="circle"/>
          <size val="6"/>
          <spPr>
            <a:gradFill xmlns:a="http://schemas.openxmlformats.org/drawingml/2006/main"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xmlns:a="http://schemas.openxmlformats.org/drawingml/2006/main" w="9525">
              <a:solidFill>
                <a:schemeClr val="accent1"/>
              </a:solidFill>
              <a:prstDash val="solid"/>
              <a:round/>
            </a:ln>
          </spPr>
        </marker>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t"/>
          <showLegendKey val="0"/>
          <showVal val="1"/>
          <showCatName val="0"/>
          <showSerName val="0"/>
          <showPercent val="0"/>
          <showBubbleSize val="0"/>
        </dLbl>
      </pivotFmt>
      <pivotFmt>
        <idx val="5"/>
        <spPr>
          <a:ln xmlns:a="http://schemas.openxmlformats.org/drawingml/2006/main" w="34925" cap="rnd">
            <a:solidFill>
              <a:schemeClr val="accent1"/>
            </a:solidFill>
            <a:prstDash val="solid"/>
            <a:round/>
          </a:ln>
        </spPr>
        <marker>
          <symbol val="circle"/>
          <size val="6"/>
          <spPr>
            <a:gradFill xmlns:a="http://schemas.openxmlformats.org/drawingml/2006/main"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xmlns:a="http://schemas.openxmlformats.org/drawingml/2006/main" w="9525">
              <a:solidFill>
                <a:schemeClr val="accent2"/>
              </a:solidFill>
              <a:prstDash val="solid"/>
              <a:round/>
            </a:ln>
          </spPr>
        </marker>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t"/>
          <showLegendKey val="0"/>
          <showVal val="1"/>
          <showCatName val="0"/>
          <showSerName val="0"/>
          <showPercent val="0"/>
          <showBubbleSize val="0"/>
        </dLbl>
      </pivotFmt>
    </pivotFmts>
    <plotArea>
      <layout/>
      <lineChart>
        <grouping val="stacked"/>
        <varyColors val="0"/>
        <ser>
          <idx val="0"/>
          <order val="0"/>
          <tx>
            <strRef>
              <f>'Raw Data'!$B$153</f>
              <strCache>
                <ptCount val="1"/>
                <pt idx="0">
                  <v>Sum of 人数目標</v>
                </pt>
              </strCache>
            </strRef>
          </tx>
          <spPr>
            <a:ln xmlns:a="http://schemas.openxmlformats.org/drawingml/2006/main" w="34925" cap="rnd">
              <a:solidFill>
                <a:schemeClr val="accent1"/>
              </a:solidFill>
              <a:prstDash val="solid"/>
              <a:round/>
            </a:ln>
          </spPr>
          <marker>
            <symbol val="circle"/>
            <size val="6"/>
            <spPr>
              <a:gradFill xmlns:a="http://schemas.openxmlformats.org/drawingml/2006/main"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xmlns:a="http://schemas.openxmlformats.org/drawingml/2006/main" w="9525">
                <a:solidFill>
                  <a:schemeClr val="accent1"/>
                </a:solidFill>
                <a:prstDash val="solid"/>
                <a:roun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t"/>
            <showLegendKey val="0"/>
            <showVal val="1"/>
            <showCatName val="0"/>
            <showSerName val="0"/>
            <showPercent val="0"/>
            <showBubbleSize val="0"/>
            <showLeaderLines val="0"/>
          </dLbls>
          <cat>
            <strRef>
              <f>'Raw Data'!$A$154:$A$156</f>
              <strCache>
                <ptCount val="2"/>
                <pt idx="0">
                  <v>上期</v>
                </pt>
                <pt idx="1">
                  <v>下期</v>
                </pt>
              </strCache>
            </strRef>
          </cat>
          <val>
            <numRef>
              <f>'Raw Data'!$B$154:$B$156</f>
              <numCache>
                <formatCode>General</formatCode>
                <ptCount val="2"/>
                <pt idx="0">
                  <v>90</v>
                </pt>
                <pt idx="1">
                  <v>90</v>
                </pt>
              </numCache>
            </numRef>
          </val>
          <smooth val="0"/>
        </ser>
        <ser>
          <idx val="1"/>
          <order val="1"/>
          <tx>
            <strRef>
              <f>'Raw Data'!$C$153</f>
              <strCache>
                <ptCount val="1"/>
                <pt idx="0">
                  <v>Sum of 人数実績</v>
                </pt>
              </strCache>
            </strRef>
          </tx>
          <spPr>
            <a:ln xmlns:a="http://schemas.openxmlformats.org/drawingml/2006/main" w="34925" cap="rnd">
              <a:solidFill>
                <a:schemeClr val="accent2"/>
              </a:solidFill>
              <a:prstDash val="solid"/>
              <a:round/>
            </a:ln>
          </spPr>
          <marker>
            <symbol val="circle"/>
            <size val="6"/>
            <spPr>
              <a:gradFill xmlns:a="http://schemas.openxmlformats.org/drawingml/2006/main"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xmlns:a="http://schemas.openxmlformats.org/drawingml/2006/main" w="9525">
                <a:solidFill>
                  <a:schemeClr val="accent2"/>
                </a:solidFill>
                <a:prstDash val="solid"/>
                <a:roun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t"/>
            <showLegendKey val="0"/>
            <showVal val="1"/>
            <showCatName val="0"/>
            <showSerName val="0"/>
            <showPercent val="0"/>
            <showBubbleSize val="0"/>
            <showLeaderLines val="0"/>
          </dLbls>
          <cat>
            <strRef>
              <f>'Raw Data'!$A$154:$A$156</f>
              <strCache>
                <ptCount val="2"/>
                <pt idx="0">
                  <v>上期</v>
                </pt>
                <pt idx="1">
                  <v>下期</v>
                </pt>
              </strCache>
            </strRef>
          </cat>
          <val>
            <numRef>
              <f>'Raw Data'!$C$154:$C$156</f>
              <numCache>
                <formatCode>General</formatCode>
                <ptCount val="2"/>
                <pt idx="0">
                  <v>102</v>
                </pt>
                <pt idx="1">
                  <v>37</v>
                </pt>
              </numCache>
            </numRef>
          </val>
          <smooth val="0"/>
        </ser>
        <dLbls>
          <dLblPos val="t"/>
          <showLegendKey val="0"/>
          <showVal val="1"/>
          <showCatName val="0"/>
          <showSerName val="0"/>
          <showPercent val="0"/>
          <showBubbleSize val="0"/>
        </dLbls>
        <marker val="1"/>
        <smooth val="0"/>
        <axId val="168237407"/>
        <axId val="168248927"/>
      </lineChart>
      <catAx>
        <axId val="1682374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2700"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68248927"/>
        <crosses val="autoZero"/>
        <auto val="1"/>
        <lblAlgn val="ctr"/>
        <lblOffset val="100"/>
        <noMultiLvlLbl val="0"/>
      </catAx>
      <valAx>
        <axId val="16824892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68237407"/>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zero"/>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期間別 実績ドーナツ</a:t>
            </a:r>
          </a:p>
        </rich>
      </tx>
    </title>
    <plotArea>
      <pieChart>
        <varyColors val="1"/>
        <ser>
          <idx val="0"/>
          <order val="0"/>
          <spPr>
            <a:ln xmlns:a="http://schemas.openxmlformats.org/drawingml/2006/main">
              <a:prstDash val="solid"/>
            </a:ln>
          </spPr>
          <cat>
            <numRef>
              <f>'DASHBOARD'!$F$9:$F$11</f>
            </numRef>
          </cat>
          <val>
            <numRef>
              <f>'DASHBOARD'!$H$9:$H$11</f>
            </numRef>
          </val>
        </ser>
        <firstSliceAng val="0"/>
      </pieChart>
    </plotArea>
    <legend>
      <legendPos val="r"/>
    </legend>
    <plotVisOnly val="1"/>
    <dispBlanksAs val="gap"/>
  </chart>
</chartSpace>
</file>

<file path=xl/comments/comment1.xml><?xml version="1.0" encoding="utf-8"?>
<comments xmlns="http://schemas.openxmlformats.org/spreadsheetml/2006/main">
  <authors>
    <author>tc={8601C4C8-89CE-4537-AD83-C971CF28A396}</author>
    <author>tc={BB9328BF-79B5-4222-A025-3C9836695665}</author>
    <author>tc={F0B3BB08-6B0A-46E4-BCC7-8169BDE81C9A}</author>
    <author>tc={5602F820-4681-4406-9AB7-1CFDA4EA7500}</author>
    <author>tc={50F37C17-25B8-43A9-9EF4-353FECB55D74}</author>
    <author>tc={06F79DDD-B244-4E6F-B589-A9FC42CD045B}</author>
    <author>tc={3B14384F-69F8-4D73-8533-E938C7968996}</author>
    <author>tc={D88E71F6-C597-41BA-92D2-50A320544CD6}</author>
  </authors>
  <commentList>
    <comment ref="F8" authorId="0"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ワンアンドオンリー（高度人材・１名）</t>
      </text>
    </comment>
    <comment ref="L8" authorId="1"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ワンアンドオンリー（１名）</t>
      </text>
    </comment>
    <comment ref="R8" authorId="2"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北海プロテック</t>
      </text>
    </comment>
    <comment ref="AA8" authorId="3"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ワンオンリー1名</t>
      </text>
    </comment>
    <comment ref="AD8" authorId="4"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株式会社スタッフ満足</t>
      </text>
    </comment>
    <comment ref="I9" authorId="5"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イブレス（１名特定技能）</t>
      </text>
    </comment>
    <comment ref="L11" authorId="6"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　OBIKE３名</t>
      </text>
    </comment>
    <comment ref="AD11" authorId="7"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①オービーケー3名特定技能性支援（4.5万円）
②イヴレス1名特定技能性支援（2万円）
③イヴレス1名在留資格申請支援業務費用（8万円）</t>
      </text>
    </comment>
    <comment ref="F13" authorId="0"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ワンアンドオンリー（高度人材・１名）</t>
      </text>
    </comment>
    <comment ref="L13" authorId="1"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ワンアンドオンリー（１名）</t>
      </text>
    </comment>
    <comment ref="R13" authorId="2"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北海プロテック</t>
      </text>
    </comment>
    <comment ref="AA13" authorId="3"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ワンオンリー1名</t>
      </text>
    </comment>
    <comment ref="AD13" authorId="4"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株式会社スタッフ満足</t>
      </text>
    </comment>
    <comment ref="AE13" authorId="0"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ワンアンドオンリー（高度人材・１名）</t>
      </text>
    </comment>
    <comment ref="I14" authorId="5"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イブレス（１名特定技能）</t>
      </text>
    </comment>
    <comment ref="L16" authorId="6"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　OBIKE３名</t>
      </text>
    </comment>
    <comment ref="AD16" authorId="7"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①オービーケー3名特定技能性支援（4.5万円）
②イヴレス1名特定技能性支援（2万円）
③イヴレス1名在留資格申請支援業務費用（8万円）</t>
      </text>
    </comment>
  </commentList>
</comments>
</file>

<file path=xl/comments/comment2.xml><?xml version="1.0" encoding="utf-8"?>
<comments xmlns="http://schemas.openxmlformats.org/spreadsheetml/2006/main">
  <authors>
    <author>tc={138FE3E3-B100-4516-BFD7-52A3AB746072}</author>
    <author>tc={F796440E-6025-4020-8032-DAECBDF01F47}</author>
    <author>tc={96B14622-5DDC-4DF2-9F3A-9E6A6EF06C8F}</author>
    <author>tc={BD7AB5AC-528F-4BF6-A84D-AB9E4F408567}</author>
    <author>tc={92D00D43-2DA4-49C6-AF4A-0D0905CBCB35}</author>
    <author>tc={8E849E8A-ADB4-4D42-83DE-AD614737E2A4}</author>
  </authors>
  <commentList>
    <comment ref="F8" authorId="0"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ワンアンドオンリー（高度人材・１名）</t>
      </text>
    </comment>
    <comment ref="L8" authorId="1"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ワンアンドオンリー（１名）</t>
      </text>
    </comment>
    <comment ref="R8" authorId="2"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北海プロテック</t>
      </text>
    </comment>
    <comment ref="AA8" authorId="3"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ワンオンリー1名</t>
      </text>
    </comment>
    <comment ref="I9" authorId="4"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イブレス（１名特定技能）</t>
      </text>
    </comment>
    <comment ref="L11" authorId="5"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　OBIKE３名</t>
      </text>
    </comment>
  </commentList>
</comments>
</file>

<file path=xl/comments/comment3.xml><?xml version="1.0" encoding="utf-8"?>
<comments xmlns="http://schemas.openxmlformats.org/spreadsheetml/2006/main">
  <authors>
    <author>tc={D9055E8E-4FFF-4E54-B124-9634A0C0B301}</author>
    <author>tc={9D426484-4F50-4709-9495-57C713D3C43A}</author>
    <author>tc={AD1A664B-005E-496E-86D6-E518B22D9368}</author>
    <author>tc={1E5FAD29-DE70-43ED-80FD-93558A9119AD}</author>
    <author>tc={B091D57D-5F9D-4FED-998C-C7E19D61D3CA}</author>
  </authors>
  <commentList>
    <comment ref="F8" authorId="0"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ワンアンドオンリー（高度人材・１名）</t>
      </text>
    </comment>
    <comment ref="L8" authorId="1"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ワンアンドオンリー（１名）</t>
      </text>
    </comment>
    <comment ref="R8" authorId="2"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北海プロテック</t>
      </text>
    </comment>
    <comment ref="I9" authorId="3"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イブレス（１名特定技能）</t>
      </text>
    </comment>
    <comment ref="L11" authorId="4"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　OBIKE３名</t>
      </text>
    </comment>
  </commentList>
</comments>
</file>

<file path=xl/comments/comment4.xml><?xml version="1.0" encoding="utf-8"?>
<comments xmlns="http://schemas.openxmlformats.org/spreadsheetml/2006/main">
  <authors>
    <author>tc={F83D7227-F6A7-4ED5-B31E-FEA4F2EF1D5E}</author>
    <author>tc={12D8E813-F376-4EF8-B803-9DBD434C82C4}</author>
    <author>tc={4464508A-A9AF-4987-AFC7-277ADE2E2D46}</author>
    <author>tc={027C274F-36CD-4FB7-B9E8-B9E4620C6607}</author>
    <author>tc={EAD0F63D-AD64-45C0-8652-AC712D79FA05}</author>
  </authors>
  <commentList>
    <comment ref="F8" authorId="0"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ワンアンドオンリー（高度人材・１名）</t>
      </text>
    </comment>
    <comment ref="L8" authorId="1"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ワンアンドオンリー（１名）</t>
      </text>
    </comment>
    <comment ref="R8" authorId="2"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北海プロテック</t>
      </text>
    </comment>
    <comment ref="I9" authorId="3"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イブレス（１名特定技能）</t>
      </text>
    </comment>
    <comment ref="L11" authorId="4"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　OBIKE３名</t>
      </text>
    </comment>
  </commentList>
</comments>
</file>

<file path=xl/comments/comment5.xml><?xml version="1.0" encoding="utf-8"?>
<comments xmlns="http://schemas.openxmlformats.org/spreadsheetml/2006/main">
  <authors>
    <author>tc={6B92B069-DC71-4153-B781-465F9B078A73}</author>
    <author>tc={74BF7A44-18DD-4F1D-9194-67F1B884E908}</author>
    <author>tc={11713EAF-134E-4CF1-8115-85E195082D5E}</author>
    <author>tc={2020759C-275C-43A8-BF2A-187402154A3B}</author>
    <author>tc={090E0B4E-E70B-438F-B158-15694E86A868}</author>
  </authors>
  <commentList>
    <comment ref="F8" authorId="0"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ワンアンドオンリー（高度人材・１名）</t>
      </text>
    </comment>
    <comment ref="L8" authorId="1"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ワンアンドオンリー（１名）</t>
      </text>
    </comment>
    <comment ref="R8" authorId="2"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北海プロテック</t>
      </text>
    </comment>
    <comment ref="I9" authorId="3"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イブレス（１名特定技能）</t>
      </text>
    </comment>
    <comment ref="L11" authorId="4"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　OBIKE３名</t>
      </text>
    </comment>
  </commentList>
</comments>
</file>

<file path=xl/comments/comment6.xml><?xml version="1.0" encoding="utf-8"?>
<comments xmlns="http://schemas.openxmlformats.org/spreadsheetml/2006/main">
  <authors>
    <author>tc={78E89B90-95B1-441F-AFA8-42661ADB5F80}</author>
    <author>tc={841AA8B4-9621-4EB4-92BF-E668B142B801}</author>
    <author>tc={477E6DEE-D974-4AF0-B75F-F10B63691DAE}</author>
    <author>tc={A3233A16-6FC1-4744-BE50-88EC8168B064}</author>
    <author>tc={791FF8FA-9DAE-4014-8CE4-D1EEDACFA920}</author>
  </authors>
  <commentList>
    <comment ref="F8" authorId="0"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ワンアンドオンリー（高度人材・１名）</t>
      </text>
    </comment>
    <comment ref="L8" authorId="1"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ワンアンドオンリー（１名）</t>
      </text>
    </comment>
    <comment ref="R8" authorId="2"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北海プロテック</t>
      </text>
    </comment>
    <comment ref="I9" authorId="3"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イブレス（１名特定技能）</t>
      </text>
    </comment>
    <comment ref="L11" authorId="4"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　OBIKE３名</t>
      </text>
    </comment>
  </commentList>
</comments>
</file>

<file path=xl/comments/comment7.xml><?xml version="1.0" encoding="utf-8"?>
<comments xmlns="http://schemas.openxmlformats.org/spreadsheetml/2006/main">
  <authors>
    <author>tc={E579FA4B-B048-4C9A-9442-AC5C25E93057}</author>
    <author>tc={0C513059-B346-4475-A57E-6599968CACBB}</author>
    <author>tc={7F59AD61-EC0F-49C0-8B86-9C1C5C441C8B}</author>
    <author>tc={68AFD81B-5BD4-4C0D-A3E0-63F6351C3E8B}</author>
  </authors>
  <commentList>
    <comment ref="F8" authorId="0"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ワンアンドオンリー（高度人材・１名）</t>
      </text>
    </comment>
    <comment ref="L8" authorId="1"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ワンアンドオンリー（１名）</t>
      </text>
    </comment>
    <comment ref="I9" authorId="2"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イブレス（１名特定技能）</t>
      </text>
    </comment>
    <comment ref="L11" authorId="3"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　OBIKE３名</t>
      </text>
    </comment>
  </commentList>
</comments>
</file>

<file path=xl/comments/comment8.xml><?xml version="1.0" encoding="utf-8"?>
<comments xmlns="http://schemas.openxmlformats.org/spreadsheetml/2006/main">
  <authors>
    <author>tc={6A004758-0628-4713-9274-06C4077C35D2}</author>
    <author>tc={ABA3D666-AC1B-4186-9706-20DD25980C30}</author>
    <author>tc={0B1C78FC-C2D6-4318-A79F-C14F6F2B92D5}</author>
    <author>tc={89C03AF4-8C3B-470D-81D9-96B4D71F6B73}</author>
  </authors>
  <commentList>
    <comment ref="F8" authorId="0"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ワンアンドオンリー（１名）</t>
      </text>
    </comment>
    <comment ref="L8" authorId="1"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ワンアンドオンリー（１名）</t>
      </text>
    </comment>
    <comment ref="I9" authorId="2"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イブレス（１特定技能）</t>
      </text>
    </comment>
    <comment ref="L11" authorId="3"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　OBIKE３名</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 Type="http://schemas.openxmlformats.org/officeDocument/2006/relationships/chart" Target="/xl/charts/chart5.xml" Id="rId4"/><Relationship Type="http://schemas.openxmlformats.org/officeDocument/2006/relationships/chart" Target="/xl/charts/chart6.xml" Id="rId5"/></Relationships>
</file>

<file path=xl/drawings/drawing1.xml><?xml version="1.0" encoding="utf-8"?>
<wsDr xmlns="http://schemas.openxmlformats.org/drawingml/2006/spreadsheetDrawing">
  <twoCellAnchor>
    <from>
      <col>4</col>
      <colOff>104775</colOff>
      <row>152</row>
      <rowOff>42862</rowOff>
    </from>
    <to>
      <col>11</col>
      <colOff>142875</colOff>
      <row>167</row>
      <rowOff>71437</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5</col>
      <colOff>0</colOff>
      <row>12</row>
      <rowOff>171450</rowOff>
    </from>
    <to>
      <col>8</col>
      <colOff>981074</colOff>
      <row>27</row>
      <rowOff>161925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5</col>
      <colOff>9525</colOff>
      <row>29</row>
      <rowOff>19049</rowOff>
    </from>
    <to>
      <col>8</col>
      <colOff>981076</colOff>
      <row>41</row>
      <rowOff>161924</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19050</colOff>
      <row>29</row>
      <rowOff>9525</rowOff>
    </from>
    <to>
      <col>4</col>
      <colOff>9525</colOff>
      <row>42</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col>
      <colOff>485775</colOff>
      <row>43</row>
      <rowOff>85725</rowOff>
    </from>
    <to>
      <col>7</col>
      <colOff>600075</colOff>
      <row>58</row>
      <rowOff>114300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oneCellAnchor>
    <from>
      <col>9</col>
      <colOff>0</colOff>
      <row>5</row>
      <rowOff>0</rowOff>
    </from>
    <ext cx="5400000" cy="270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heinminzaw" refreshedDate="46001.87541585648" createdVersion="8" refreshedVersion="8" minRefreshableVersion="3" recordCount="147" r:id="rId1">
  <cacheSource type="worksheet">
    <worksheetSource ref="A1:S148" sheet="Raw Data"/>
  </cacheSource>
  <cacheFields count="21">
    <cacheField name="カテゴリ" uniqueList="1" numFmtId="0" sqlType="0" hierarchy="0" level="0" databaseField="1">
      <sharedItems count="4">
        <s v="内部"/>
        <s v="外部"/>
        <s v="試験対策"/>
        <s v="外部小計"/>
      </sharedItems>
    </cacheField>
    <cacheField name="サブカテゴリ" uniqueList="1" numFmtId="0" sqlType="0" hierarchy="0" level="0" databaseField="1">
      <sharedItems count="12">
        <s v="技人国"/>
        <s v="特定技能"/>
        <s v="アルバイト"/>
        <s v="支援人数"/>
        <s v="支援業務"/>
        <s v="ビルクリーン"/>
        <s v="外食"/>
        <s v="宿泊"/>
        <s v="総計"/>
        <s v="上期総計"/>
        <s v="下期総計"/>
        <s v="年間総計"/>
      </sharedItems>
    </cacheField>
    <cacheField name="月" uniqueList="1" numFmtId="0" sqlType="0" hierarchy="0" level="0" databaseField="1">
      <sharedItems count="13">
        <s v="4月"/>
        <s v="5月"/>
        <s v="6月"/>
        <s v="7月"/>
        <s v="8月"/>
        <s v="9月"/>
        <s v="10月"/>
        <s v="11月"/>
        <s v="12月"/>
        <s v="1月"/>
        <s v="2月"/>
        <s v="3月"/>
        <s v="総計"/>
      </sharedItems>
    </cacheField>
    <cacheField name="目標" uniqueList="1" numFmtId="0" sqlType="0" hierarchy="0" level="0" databaseField="1">
      <sharedItems count="0" containsBlank="1" containsInteger="1" containsNumber="1" containsString="0" minValue="0" maxValue="67200"/>
    </cacheField>
    <cacheField name="実績" uniqueList="1" numFmtId="0" sqlType="0" hierarchy="0" level="0" databaseField="1">
      <sharedItems count="53" containsBlank="1" containsInteger="1" containsNumber="1" containsString="0" minValue="0" maxValue="32489">
        <n v="0"/>
        <n v="400"/>
        <n v="800"/>
        <n v="2400"/>
        <n v="1000"/>
        <n v="600"/>
        <n v="1200"/>
        <n v="1400"/>
        <m/>
        <n v="720"/>
        <n v="390"/>
        <n v="450"/>
        <n v="210"/>
        <n v="870"/>
        <n v="630"/>
        <n v="300"/>
        <n v="1600"/>
        <n v="1680"/>
        <n v="1690"/>
        <n v="1730"/>
        <n v="1770"/>
        <n v="1800"/>
        <n v="1830"/>
        <n v="1930"/>
        <n v="414"/>
        <n v="350"/>
        <n v="200"/>
        <n v="60"/>
        <n v="30"/>
        <n v="180"/>
        <n v="70"/>
        <n v="65"/>
        <n v="85"/>
        <n v="145"/>
        <n v="88"/>
        <n v="149"/>
        <n v="67"/>
        <n v="124"/>
        <n v="186"/>
        <n v="82"/>
        <n v="107"/>
        <n v="435"/>
        <n v="3650"/>
        <n v="5135"/>
        <n v="5435"/>
        <n v="3185"/>
        <n v="3739"/>
        <n v="3715"/>
        <n v="3505"/>
        <n v="4125"/>
        <n v="24859"/>
        <n v="7630"/>
        <n v="32489"/>
      </sharedItems>
    </cacheField>
    <cacheField name="達成率" uniqueList="1" numFmtId="0" sqlType="0" hierarchy="0" level="0" databaseField="1">
      <sharedItems count="0" containsNumber="1" containsSemiMixedTypes="0" containsString="0" minValue="0" maxValue="1.286666666666667"/>
    </cacheField>
    <cacheField name="人数目標" uniqueList="1" numFmtId="0" sqlType="0" hierarchy="0" level="0" databaseField="1">
      <sharedItems count="0" containsBlank="1" containsInteger="1" containsMixedTypes="1" containsNumber="1" minValue="15" maxValue="360"/>
    </cacheField>
    <cacheField name="人数実績" uniqueList="1" numFmtId="0" sqlType="0" hierarchy="0" level="0" databaseField="1">
      <sharedItems count="0" containsBlank="1" containsInteger="1" containsMixedTypes="1" containsNumber="1" minValue="3" maxValue="288"/>
    </cacheField>
    <cacheField name="人数達成率" uniqueList="1" numFmtId="0" sqlType="0" hierarchy="0" level="0" databaseField="1">
      <sharedItems count="0" containsBlank="1" containsNumber="1" containsString="0" minValue="0" maxValue="1.533333333333333"/>
    </cacheField>
    <cacheField name="Period" uniqueList="1" numFmtId="0" sqlType="0" hierarchy="0" level="0" databaseField="1">
      <sharedItems count="3">
        <s v="上期"/>
        <s v="下期"/>
        <s v="通期"/>
      </sharedItems>
    </cacheField>
    <cacheField name="Unnamed: 10" uniqueList="1" numFmtId="0" sqlType="0" hierarchy="0" level="0" databaseField="1">
      <sharedItems count="0" containsBlank="1" containsNonDate="0" containsString="0"/>
    </cacheField>
    <cacheField name="Unnamed: 11" uniqueList="1" numFmtId="0" sqlType="0" hierarchy="0" level="0" databaseField="1">
      <sharedItems count="0" containsBlank="1" containsNonDate="0" containsString="0"/>
    </cacheField>
    <cacheField name="Unnamed: 12" uniqueList="1" numFmtId="0" sqlType="0" hierarchy="0" level="0" databaseField="1">
      <sharedItems count="0" containsBlank="1" containsNonDate="0" containsString="0"/>
    </cacheField>
    <cacheField name="Unnamed: 13" uniqueList="1" numFmtId="0" sqlType="0" hierarchy="0" level="0" databaseField="1">
      <sharedItems count="0" containsBlank="1" containsNonDate="0" containsString="0"/>
    </cacheField>
    <cacheField name="Unnamed: 14" uniqueList="1" numFmtId="0" sqlType="0" hierarchy="0" level="0" databaseField="1">
      <sharedItems count="0" containsBlank="1" containsNonDate="0" containsString="0"/>
    </cacheField>
    <cacheField name="Unnamed: 15" uniqueList="1" numFmtId="0" sqlType="0" hierarchy="0" level="0" databaseField="1">
      <sharedItems count="0" containsBlank="1" containsNonDate="0" containsString="0"/>
    </cacheField>
    <cacheField name="Unnamed: 16" uniqueList="1" numFmtId="0" sqlType="0" hierarchy="0" level="0" databaseField="1">
      <sharedItems count="0" containsBlank="1" containsNonDate="0" containsString="0"/>
    </cacheField>
    <cacheField name="Unnamed: 17" uniqueList="1" numFmtId="0" sqlType="0" hierarchy="0" level="0" databaseField="1">
      <sharedItems count="0" containsBlank="1" containsNonDate="0" containsString="0"/>
    </cacheField>
    <cacheField name="Unnamed: 18" uniqueList="1" numFmtId="0" sqlType="0" hierarchy="0" level="0" databaseField="1">
      <sharedItems count="0" containsBlank="1" containsNonDate="0" containsString="0"/>
    </cacheField>
    <cacheField name="達成率(新)" uniqueList="1" numFmtId="0" formula="実績/目標" sqlType="0" hierarchy="0" level="0" databaseField="0"/>
    <cacheField name="人数達成率新" uniqueList="1" numFmtId="0" formula="人数実績/人数目標" sqlType="0" hierarchy="0" level="0" databaseField="0"/>
  </cacheFields>
</pivotCacheDefinition>
</file>

<file path=xl/pivotCache/pivotCacheDefinition2.xml><?xml version="1.0" encoding="utf-8"?>
<pivotCacheDefinition xmlns:r="http://schemas.openxmlformats.org/officeDocument/2006/relationships" xmlns="http://schemas.openxmlformats.org/spreadsheetml/2006/main" refreshedBy="heinminzaw" refreshedDate="46002.00132465277" createdVersion="8" refreshedVersion="8" minRefreshableVersion="3" recordCount="157" r:id="rId1">
  <cacheSource type="worksheet">
    <worksheetSource ref="A1:S1048576" sheet="Raw Data"/>
  </cacheSource>
  <cacheFields count="19">
    <cacheField name="カテゴリ" uniqueList="1" numFmtId="0" sqlType="0" hierarchy="0" level="0" databaseField="1">
      <sharedItems count="5" containsBlank="1">
        <s v="内部"/>
        <s v="外部"/>
        <s v="試験対策"/>
        <s v="外部小計"/>
        <m/>
      </sharedItems>
    </cacheField>
    <cacheField name="サブカテゴリ" uniqueList="1" numFmtId="0" sqlType="0" hierarchy="0" level="0" databaseField="1">
      <sharedItems count="13" containsBlank="1">
        <s v="技人国"/>
        <s v="特定技能"/>
        <s v="アルバイト"/>
        <s v="支援人数"/>
        <s v="支援業務"/>
        <s v="ビルクリーン"/>
        <s v="外食"/>
        <s v="宿泊"/>
        <s v="総計"/>
        <s v="上期総計"/>
        <s v="下期総計"/>
        <s v="年間総計"/>
        <m/>
      </sharedItems>
    </cacheField>
    <cacheField name="月" uniqueList="1" numFmtId="0" sqlType="0" hierarchy="0" level="0" databaseField="1">
      <sharedItems count="0" containsBlank="1"/>
    </cacheField>
    <cacheField name="目標" uniqueList="1" numFmtId="0" sqlType="0" hierarchy="0" level="0" databaseField="1">
      <sharedItems count="0" containsBlank="1" containsInteger="1" containsNumber="1" containsString="0" minValue="0" maxValue="67200"/>
    </cacheField>
    <cacheField name="実績" uniqueList="1" numFmtId="0" sqlType="0" hierarchy="0" level="0" databaseField="1">
      <sharedItems count="0" containsBlank="1" containsInteger="1" containsNumber="1" containsString="0" minValue="0" maxValue="32489"/>
    </cacheField>
    <cacheField name="達成率" uniqueList="1" numFmtId="0" sqlType="0" hierarchy="0" level="0" databaseField="1">
      <sharedItems count="0" containsBlank="1" containsNumber="1" containsString="0" minValue="0" maxValue="1.286666666666667"/>
    </cacheField>
    <cacheField name="人数目標" uniqueList="1" numFmtId="0" sqlType="0" hierarchy="0" level="0" databaseField="1">
      <sharedItems count="0" containsBlank="1" containsInteger="1" containsMixedTypes="1" containsNumber="1" minValue="15" maxValue="360"/>
    </cacheField>
    <cacheField name="人数実績" uniqueList="1" numFmtId="0" sqlType="0" hierarchy="0" level="0" databaseField="1">
      <sharedItems count="0" containsBlank="1" containsInteger="1" containsMixedTypes="1" containsNumber="1" minValue="3" maxValue="288"/>
    </cacheField>
    <cacheField name="人数達成率" uniqueList="1" numFmtId="0" sqlType="0" hierarchy="0" level="0" databaseField="1">
      <sharedItems count="0" containsBlank="1" containsNumber="1" containsString="0" minValue="0" maxValue="1.533333333333333"/>
    </cacheField>
    <cacheField name="Period" uniqueList="1" numFmtId="0" sqlType="0" hierarchy="0" level="0" databaseField="1">
      <sharedItems count="4" containsBlank="1">
        <s v="上期"/>
        <s v="下期"/>
        <s v="通期"/>
        <m/>
      </sharedItems>
    </cacheField>
    <cacheField name="Unnamed: 10" uniqueList="1" numFmtId="0" sqlType="0" hierarchy="0" level="0" databaseField="1">
      <sharedItems count="0" containsBlank="1" containsNonDate="0" containsString="0"/>
    </cacheField>
    <cacheField name="Unnamed: 11" uniqueList="1" numFmtId="0" sqlType="0" hierarchy="0" level="0" databaseField="1">
      <sharedItems count="0" containsBlank="1" containsNonDate="0" containsString="0"/>
    </cacheField>
    <cacheField name="Unnamed: 12" uniqueList="1" numFmtId="0" sqlType="0" hierarchy="0" level="0" databaseField="1">
      <sharedItems count="0" containsBlank="1" containsNonDate="0" containsString="0"/>
    </cacheField>
    <cacheField name="Unnamed: 13" uniqueList="1" numFmtId="0" sqlType="0" hierarchy="0" level="0" databaseField="1">
      <sharedItems count="0" containsBlank="1" containsNonDate="0" containsString="0"/>
    </cacheField>
    <cacheField name="Unnamed: 14" uniqueList="1" numFmtId="0" sqlType="0" hierarchy="0" level="0" databaseField="1">
      <sharedItems count="0" containsBlank="1" containsNonDate="0" containsString="0"/>
    </cacheField>
    <cacheField name="Unnamed: 15" uniqueList="1" numFmtId="0" sqlType="0" hierarchy="0" level="0" databaseField="1">
      <sharedItems count="0" containsBlank="1" containsNonDate="0" containsString="0"/>
    </cacheField>
    <cacheField name="Unnamed: 16" uniqueList="1" numFmtId="0" sqlType="0" hierarchy="0" level="0" databaseField="1">
      <sharedItems count="0" containsBlank="1" containsNonDate="0" containsString="0"/>
    </cacheField>
    <cacheField name="Unnamed: 17" uniqueList="1" numFmtId="0" sqlType="0" hierarchy="0" level="0" databaseField="1">
      <sharedItems count="0" containsBlank="1" containsNonDate="0" containsString="0"/>
    </cacheField>
    <cacheField name="Unnamed: 18" uniqueList="1" numFmtId="0" sqlType="0" hierarchy="0" level="0" databaseField="1">
      <sharedItems count="0" containsBlank="1" containsNonDate="0" containsString="0"/>
    </cacheField>
  </cacheFields>
</pivotCacheDefinition>
</file>

<file path=xl/pivotCache/pivotCacheRecords1.xml><?xml version="1.0" encoding="utf-8"?>
<pivotCacheRecords xmlns="http://schemas.openxmlformats.org/spreadsheetml/2006/main" count="147">
  <r>
    <x v="0"/>
    <x v="0"/>
    <x v="0"/>
    <m/>
    <x v="0"/>
    <n v="0"/>
    <m/>
    <m/>
    <m/>
    <x v="0"/>
    <m/>
    <m/>
    <m/>
    <m/>
    <m/>
    <m/>
    <m/>
    <m/>
    <m/>
  </r>
  <r>
    <x v="0"/>
    <x v="0"/>
    <x v="1"/>
    <m/>
    <x v="1"/>
    <n v="0"/>
    <m/>
    <m/>
    <m/>
    <x v="0"/>
    <m/>
    <m/>
    <m/>
    <m/>
    <m/>
    <m/>
    <m/>
    <m/>
    <m/>
  </r>
  <r>
    <x v="0"/>
    <x v="0"/>
    <x v="2"/>
    <m/>
    <x v="2"/>
    <n v="0"/>
    <m/>
    <m/>
    <m/>
    <x v="0"/>
    <m/>
    <m/>
    <m/>
    <m/>
    <m/>
    <m/>
    <m/>
    <m/>
    <m/>
  </r>
  <r>
    <x v="0"/>
    <x v="0"/>
    <x v="3"/>
    <m/>
    <x v="0"/>
    <n v="0"/>
    <m/>
    <m/>
    <m/>
    <x v="0"/>
    <m/>
    <m/>
    <m/>
    <m/>
    <m/>
    <m/>
    <m/>
    <m/>
    <m/>
  </r>
  <r>
    <x v="0"/>
    <x v="0"/>
    <x v="4"/>
    <m/>
    <x v="0"/>
    <n v="0"/>
    <m/>
    <m/>
    <m/>
    <x v="0"/>
    <m/>
    <m/>
    <m/>
    <m/>
    <m/>
    <m/>
    <m/>
    <m/>
    <m/>
  </r>
  <r>
    <x v="0"/>
    <x v="0"/>
    <x v="5"/>
    <m/>
    <x v="0"/>
    <n v="0"/>
    <m/>
    <m/>
    <m/>
    <x v="0"/>
    <m/>
    <m/>
    <m/>
    <m/>
    <m/>
    <m/>
    <m/>
    <m/>
    <m/>
  </r>
  <r>
    <x v="0"/>
    <x v="0"/>
    <x v="6"/>
    <m/>
    <x v="0"/>
    <n v="0"/>
    <m/>
    <m/>
    <m/>
    <x v="1"/>
    <m/>
    <m/>
    <m/>
    <m/>
    <m/>
    <m/>
    <m/>
    <m/>
    <m/>
  </r>
  <r>
    <x v="0"/>
    <x v="0"/>
    <x v="7"/>
    <m/>
    <x v="0"/>
    <n v="0"/>
    <m/>
    <m/>
    <m/>
    <x v="1"/>
    <m/>
    <m/>
    <m/>
    <m/>
    <m/>
    <m/>
    <m/>
    <m/>
    <m/>
  </r>
  <r>
    <x v="0"/>
    <x v="0"/>
    <x v="8"/>
    <m/>
    <x v="0"/>
    <n v="0"/>
    <m/>
    <m/>
    <m/>
    <x v="1"/>
    <m/>
    <m/>
    <m/>
    <m/>
    <m/>
    <m/>
    <m/>
    <m/>
    <m/>
  </r>
  <r>
    <x v="0"/>
    <x v="0"/>
    <x v="9"/>
    <m/>
    <x v="0"/>
    <n v="0"/>
    <m/>
    <m/>
    <m/>
    <x v="1"/>
    <m/>
    <m/>
    <m/>
    <m/>
    <m/>
    <m/>
    <m/>
    <m/>
    <m/>
  </r>
  <r>
    <x v="0"/>
    <x v="0"/>
    <x v="10"/>
    <m/>
    <x v="0"/>
    <n v="0"/>
    <m/>
    <m/>
    <m/>
    <x v="1"/>
    <m/>
    <m/>
    <m/>
    <m/>
    <m/>
    <m/>
    <m/>
    <m/>
    <m/>
  </r>
  <r>
    <x v="0"/>
    <x v="0"/>
    <x v="11"/>
    <m/>
    <x v="0"/>
    <n v="0"/>
    <m/>
    <m/>
    <m/>
    <x v="1"/>
    <m/>
    <m/>
    <m/>
    <m/>
    <m/>
    <m/>
    <m/>
    <m/>
    <m/>
  </r>
  <r>
    <x v="0"/>
    <x v="1"/>
    <x v="0"/>
    <n v="3000"/>
    <x v="2"/>
    <n v="0.2666666666666667"/>
    <n v="15"/>
    <s v="４"/>
    <m/>
    <x v="0"/>
    <m/>
    <m/>
    <m/>
    <m/>
    <m/>
    <m/>
    <m/>
    <m/>
    <m/>
  </r>
  <r>
    <x v="0"/>
    <x v="1"/>
    <x v="1"/>
    <n v="3000"/>
    <x v="3"/>
    <n v="0.8"/>
    <n v="15"/>
    <n v="12"/>
    <m/>
    <x v="0"/>
    <m/>
    <m/>
    <m/>
    <m/>
    <m/>
    <m/>
    <m/>
    <m/>
    <m/>
  </r>
  <r>
    <x v="0"/>
    <x v="1"/>
    <x v="2"/>
    <n v="3000"/>
    <x v="3"/>
    <n v="0.8"/>
    <n v="15"/>
    <n v="12"/>
    <m/>
    <x v="0"/>
    <m/>
    <m/>
    <m/>
    <m/>
    <m/>
    <m/>
    <m/>
    <m/>
    <m/>
  </r>
  <r>
    <x v="0"/>
    <x v="1"/>
    <x v="3"/>
    <n v="3000"/>
    <x v="4"/>
    <n v="0.3333333333333333"/>
    <n v="15"/>
    <s v="５"/>
    <m/>
    <x v="0"/>
    <m/>
    <m/>
    <m/>
    <m/>
    <m/>
    <m/>
    <m/>
    <m/>
    <m/>
  </r>
  <r>
    <x v="0"/>
    <x v="1"/>
    <x v="4"/>
    <n v="3000"/>
    <x v="5"/>
    <n v="0.2"/>
    <n v="15"/>
    <s v="３"/>
    <m/>
    <x v="0"/>
    <m/>
    <m/>
    <m/>
    <m/>
    <m/>
    <m/>
    <m/>
    <m/>
    <m/>
  </r>
  <r>
    <x v="0"/>
    <x v="1"/>
    <x v="5"/>
    <n v="3000"/>
    <x v="6"/>
    <n v="0.4"/>
    <n v="15"/>
    <s v="６"/>
    <m/>
    <x v="0"/>
    <m/>
    <m/>
    <m/>
    <m/>
    <m/>
    <m/>
    <m/>
    <m/>
    <m/>
  </r>
  <r>
    <x v="0"/>
    <x v="1"/>
    <x v="6"/>
    <n v="3000"/>
    <x v="2"/>
    <n v="0.2666666666666667"/>
    <n v="15"/>
    <s v="４"/>
    <m/>
    <x v="1"/>
    <m/>
    <m/>
    <m/>
    <m/>
    <m/>
    <m/>
    <m/>
    <m/>
    <m/>
  </r>
  <r>
    <x v="0"/>
    <x v="1"/>
    <x v="7"/>
    <n v="3000"/>
    <x v="7"/>
    <n v="0.4666666666666667"/>
    <n v="15"/>
    <s v="７"/>
    <m/>
    <x v="1"/>
    <m/>
    <m/>
    <m/>
    <m/>
    <m/>
    <m/>
    <m/>
    <m/>
    <m/>
  </r>
  <r>
    <x v="0"/>
    <x v="1"/>
    <x v="8"/>
    <n v="3000"/>
    <x v="8"/>
    <n v="0"/>
    <n v="15"/>
    <m/>
    <m/>
    <x v="1"/>
    <m/>
    <m/>
    <m/>
    <m/>
    <m/>
    <m/>
    <m/>
    <m/>
    <m/>
  </r>
  <r>
    <x v="0"/>
    <x v="1"/>
    <x v="9"/>
    <n v="3000"/>
    <x v="8"/>
    <n v="0"/>
    <n v="15"/>
    <m/>
    <m/>
    <x v="1"/>
    <m/>
    <m/>
    <m/>
    <m/>
    <m/>
    <m/>
    <m/>
    <m/>
    <m/>
  </r>
  <r>
    <x v="0"/>
    <x v="1"/>
    <x v="10"/>
    <n v="3000"/>
    <x v="8"/>
    <n v="0"/>
    <n v="15"/>
    <m/>
    <m/>
    <x v="1"/>
    <m/>
    <m/>
    <m/>
    <m/>
    <m/>
    <m/>
    <m/>
    <m/>
    <m/>
  </r>
  <r>
    <x v="0"/>
    <x v="1"/>
    <x v="11"/>
    <n v="3000"/>
    <x v="8"/>
    <n v="0"/>
    <n v="15"/>
    <m/>
    <m/>
    <x v="1"/>
    <m/>
    <m/>
    <m/>
    <m/>
    <m/>
    <m/>
    <m/>
    <m/>
    <m/>
  </r>
  <r>
    <x v="0"/>
    <x v="2"/>
    <x v="0"/>
    <m/>
    <x v="9"/>
    <n v="0"/>
    <m/>
    <n v="24"/>
    <m/>
    <x v="0"/>
    <m/>
    <m/>
    <m/>
    <m/>
    <m/>
    <m/>
    <m/>
    <m/>
    <m/>
  </r>
  <r>
    <x v="0"/>
    <x v="2"/>
    <x v="1"/>
    <m/>
    <x v="10"/>
    <n v="0"/>
    <m/>
    <n v="13"/>
    <m/>
    <x v="0"/>
    <m/>
    <m/>
    <m/>
    <m/>
    <m/>
    <m/>
    <m/>
    <m/>
    <m/>
  </r>
  <r>
    <x v="0"/>
    <x v="2"/>
    <x v="2"/>
    <m/>
    <x v="11"/>
    <n v="0"/>
    <m/>
    <n v="15"/>
    <m/>
    <x v="0"/>
    <m/>
    <m/>
    <m/>
    <m/>
    <m/>
    <m/>
    <m/>
    <m/>
    <m/>
  </r>
  <r>
    <x v="0"/>
    <x v="2"/>
    <x v="3"/>
    <m/>
    <x v="12"/>
    <n v="0"/>
    <m/>
    <s v="７"/>
    <m/>
    <x v="0"/>
    <m/>
    <m/>
    <m/>
    <m/>
    <m/>
    <m/>
    <m/>
    <m/>
    <m/>
  </r>
  <r>
    <x v="0"/>
    <x v="2"/>
    <x v="4"/>
    <m/>
    <x v="13"/>
    <n v="0"/>
    <m/>
    <n v="29"/>
    <m/>
    <x v="0"/>
    <m/>
    <m/>
    <m/>
    <m/>
    <m/>
    <m/>
    <m/>
    <m/>
    <m/>
  </r>
  <r>
    <x v="0"/>
    <x v="2"/>
    <x v="5"/>
    <m/>
    <x v="14"/>
    <n v="0"/>
    <m/>
    <n v="21"/>
    <m/>
    <x v="0"/>
    <m/>
    <m/>
    <m/>
    <m/>
    <m/>
    <m/>
    <m/>
    <m/>
    <m/>
  </r>
  <r>
    <x v="0"/>
    <x v="2"/>
    <x v="6"/>
    <m/>
    <x v="10"/>
    <n v="0"/>
    <m/>
    <n v="13"/>
    <m/>
    <x v="1"/>
    <m/>
    <m/>
    <m/>
    <m/>
    <m/>
    <m/>
    <m/>
    <m/>
    <m/>
  </r>
  <r>
    <x v="0"/>
    <x v="2"/>
    <x v="7"/>
    <m/>
    <x v="15"/>
    <n v="0"/>
    <m/>
    <n v="10"/>
    <m/>
    <x v="1"/>
    <m/>
    <m/>
    <m/>
    <m/>
    <m/>
    <m/>
    <m/>
    <m/>
    <m/>
  </r>
  <r>
    <x v="0"/>
    <x v="2"/>
    <x v="8"/>
    <m/>
    <x v="8"/>
    <n v="0"/>
    <m/>
    <m/>
    <m/>
    <x v="1"/>
    <m/>
    <m/>
    <m/>
    <m/>
    <m/>
    <m/>
    <m/>
    <m/>
    <m/>
  </r>
  <r>
    <x v="0"/>
    <x v="2"/>
    <x v="9"/>
    <m/>
    <x v="8"/>
    <n v="0"/>
    <m/>
    <m/>
    <m/>
    <x v="1"/>
    <m/>
    <m/>
    <m/>
    <m/>
    <m/>
    <m/>
    <m/>
    <m/>
    <m/>
  </r>
  <r>
    <x v="0"/>
    <x v="2"/>
    <x v="10"/>
    <m/>
    <x v="8"/>
    <n v="0"/>
    <m/>
    <m/>
    <m/>
    <x v="1"/>
    <m/>
    <m/>
    <m/>
    <m/>
    <m/>
    <m/>
    <m/>
    <m/>
    <m/>
  </r>
  <r>
    <x v="0"/>
    <x v="2"/>
    <x v="11"/>
    <m/>
    <x v="8"/>
    <n v="0"/>
    <m/>
    <m/>
    <m/>
    <x v="1"/>
    <m/>
    <m/>
    <m/>
    <m/>
    <m/>
    <m/>
    <m/>
    <m/>
    <m/>
  </r>
  <r>
    <x v="0"/>
    <x v="3"/>
    <x v="0"/>
    <n v="1500"/>
    <x v="16"/>
    <n v="1.066666666666667"/>
    <n v="15"/>
    <n v="16"/>
    <m/>
    <x v="0"/>
    <m/>
    <m/>
    <m/>
    <m/>
    <m/>
    <m/>
    <m/>
    <m/>
    <m/>
  </r>
  <r>
    <x v="0"/>
    <x v="3"/>
    <x v="1"/>
    <n v="1500"/>
    <x v="17"/>
    <n v="1.12"/>
    <n v="15"/>
    <n v="17"/>
    <m/>
    <x v="0"/>
    <m/>
    <m/>
    <m/>
    <m/>
    <m/>
    <m/>
    <m/>
    <m/>
    <m/>
  </r>
  <r>
    <x v="0"/>
    <x v="3"/>
    <x v="2"/>
    <n v="1500"/>
    <x v="18"/>
    <n v="1.126666666666667"/>
    <n v="15"/>
    <n v="17"/>
    <m/>
    <x v="0"/>
    <m/>
    <m/>
    <m/>
    <m/>
    <m/>
    <m/>
    <m/>
    <m/>
    <m/>
  </r>
  <r>
    <x v="0"/>
    <x v="3"/>
    <x v="3"/>
    <n v="1500"/>
    <x v="19"/>
    <n v="1.153333333333333"/>
    <n v="15"/>
    <n v="17"/>
    <m/>
    <x v="0"/>
    <m/>
    <m/>
    <m/>
    <m/>
    <m/>
    <m/>
    <m/>
    <m/>
    <m/>
  </r>
  <r>
    <x v="0"/>
    <x v="3"/>
    <x v="4"/>
    <n v="1500"/>
    <x v="20"/>
    <n v="1.18"/>
    <n v="15"/>
    <n v="17"/>
    <m/>
    <x v="0"/>
    <m/>
    <m/>
    <m/>
    <m/>
    <m/>
    <m/>
    <m/>
    <m/>
    <m/>
  </r>
  <r>
    <x v="0"/>
    <x v="3"/>
    <x v="5"/>
    <n v="1500"/>
    <x v="21"/>
    <n v="1.2"/>
    <n v="15"/>
    <n v="18"/>
    <m/>
    <x v="0"/>
    <m/>
    <m/>
    <m/>
    <m/>
    <m/>
    <m/>
    <m/>
    <m/>
    <m/>
  </r>
  <r>
    <x v="0"/>
    <x v="3"/>
    <x v="6"/>
    <n v="1500"/>
    <x v="22"/>
    <n v="1.22"/>
    <n v="15"/>
    <n v="18"/>
    <m/>
    <x v="1"/>
    <m/>
    <m/>
    <m/>
    <m/>
    <m/>
    <m/>
    <m/>
    <m/>
    <m/>
  </r>
  <r>
    <x v="0"/>
    <x v="3"/>
    <x v="7"/>
    <n v="1500"/>
    <x v="23"/>
    <n v="1.286666666666667"/>
    <n v="15"/>
    <n v="19"/>
    <m/>
    <x v="1"/>
    <m/>
    <m/>
    <m/>
    <m/>
    <m/>
    <m/>
    <m/>
    <m/>
    <m/>
  </r>
  <r>
    <x v="0"/>
    <x v="3"/>
    <x v="8"/>
    <n v="1500"/>
    <x v="8"/>
    <n v="0"/>
    <n v="15"/>
    <m/>
    <m/>
    <x v="1"/>
    <m/>
    <m/>
    <m/>
    <m/>
    <m/>
    <m/>
    <m/>
    <m/>
    <m/>
  </r>
  <r>
    <x v="0"/>
    <x v="3"/>
    <x v="9"/>
    <n v="1500"/>
    <x v="8"/>
    <n v="0"/>
    <n v="15"/>
    <m/>
    <m/>
    <x v="1"/>
    <m/>
    <m/>
    <m/>
    <m/>
    <m/>
    <m/>
    <m/>
    <m/>
    <m/>
  </r>
  <r>
    <x v="0"/>
    <x v="3"/>
    <x v="10"/>
    <n v="1500"/>
    <x v="8"/>
    <n v="0"/>
    <n v="15"/>
    <m/>
    <m/>
    <x v="1"/>
    <m/>
    <m/>
    <m/>
    <m/>
    <m/>
    <m/>
    <m/>
    <m/>
    <m/>
  </r>
  <r>
    <x v="0"/>
    <x v="3"/>
    <x v="11"/>
    <n v="1500"/>
    <x v="8"/>
    <n v="0"/>
    <n v="15"/>
    <m/>
    <m/>
    <x v="1"/>
    <m/>
    <m/>
    <m/>
    <m/>
    <m/>
    <m/>
    <m/>
    <m/>
    <m/>
  </r>
  <r>
    <x v="1"/>
    <x v="0"/>
    <x v="0"/>
    <n v="900"/>
    <x v="1"/>
    <n v="0.4444444444444444"/>
    <m/>
    <m/>
    <m/>
    <x v="0"/>
    <m/>
    <m/>
    <m/>
    <m/>
    <m/>
    <m/>
    <m/>
    <m/>
    <m/>
  </r>
  <r>
    <x v="1"/>
    <x v="0"/>
    <x v="1"/>
    <n v="900"/>
    <x v="0"/>
    <n v="0"/>
    <m/>
    <m/>
    <m/>
    <x v="0"/>
    <m/>
    <m/>
    <m/>
    <m/>
    <m/>
    <m/>
    <m/>
    <m/>
    <m/>
  </r>
  <r>
    <x v="1"/>
    <x v="0"/>
    <x v="2"/>
    <n v="900"/>
    <x v="0"/>
    <n v="0"/>
    <m/>
    <m/>
    <m/>
    <x v="0"/>
    <m/>
    <m/>
    <m/>
    <m/>
    <m/>
    <m/>
    <m/>
    <m/>
    <m/>
  </r>
  <r>
    <x v="1"/>
    <x v="0"/>
    <x v="3"/>
    <n v="900"/>
    <x v="0"/>
    <n v="0"/>
    <m/>
    <m/>
    <m/>
    <x v="0"/>
    <m/>
    <m/>
    <m/>
    <m/>
    <m/>
    <m/>
    <m/>
    <m/>
    <m/>
  </r>
  <r>
    <x v="1"/>
    <x v="0"/>
    <x v="4"/>
    <n v="900"/>
    <x v="24"/>
    <n v="0.46"/>
    <m/>
    <m/>
    <m/>
    <x v="0"/>
    <m/>
    <m/>
    <m/>
    <m/>
    <m/>
    <m/>
    <m/>
    <m/>
    <m/>
  </r>
  <r>
    <x v="1"/>
    <x v="0"/>
    <x v="5"/>
    <n v="900"/>
    <x v="0"/>
    <n v="0"/>
    <m/>
    <m/>
    <m/>
    <x v="0"/>
    <m/>
    <m/>
    <m/>
    <m/>
    <m/>
    <m/>
    <m/>
    <m/>
    <m/>
  </r>
  <r>
    <x v="1"/>
    <x v="0"/>
    <x v="6"/>
    <n v="900"/>
    <x v="1"/>
    <n v="0.4444444444444444"/>
    <m/>
    <m/>
    <m/>
    <x v="1"/>
    <m/>
    <m/>
    <m/>
    <m/>
    <m/>
    <m/>
    <m/>
    <m/>
    <m/>
  </r>
  <r>
    <x v="1"/>
    <x v="0"/>
    <x v="7"/>
    <n v="900"/>
    <x v="25"/>
    <n v="0.3888888888888889"/>
    <m/>
    <m/>
    <m/>
    <x v="1"/>
    <m/>
    <m/>
    <m/>
    <m/>
    <m/>
    <m/>
    <m/>
    <m/>
    <m/>
  </r>
  <r>
    <x v="1"/>
    <x v="0"/>
    <x v="8"/>
    <n v="900"/>
    <x v="8"/>
    <n v="0"/>
    <m/>
    <m/>
    <m/>
    <x v="1"/>
    <m/>
    <m/>
    <m/>
    <m/>
    <m/>
    <m/>
    <m/>
    <m/>
    <m/>
  </r>
  <r>
    <x v="1"/>
    <x v="0"/>
    <x v="9"/>
    <n v="900"/>
    <x v="8"/>
    <n v="0"/>
    <m/>
    <m/>
    <m/>
    <x v="1"/>
    <m/>
    <m/>
    <m/>
    <m/>
    <m/>
    <m/>
    <m/>
    <m/>
    <m/>
  </r>
  <r>
    <x v="1"/>
    <x v="0"/>
    <x v="10"/>
    <n v="900"/>
    <x v="8"/>
    <n v="0"/>
    <m/>
    <m/>
    <m/>
    <x v="1"/>
    <m/>
    <m/>
    <m/>
    <m/>
    <m/>
    <m/>
    <m/>
    <m/>
    <m/>
  </r>
  <r>
    <x v="1"/>
    <x v="0"/>
    <x v="11"/>
    <n v="900"/>
    <x v="8"/>
    <n v="0"/>
    <m/>
    <m/>
    <m/>
    <x v="1"/>
    <m/>
    <m/>
    <m/>
    <m/>
    <m/>
    <m/>
    <m/>
    <m/>
    <m/>
  </r>
  <r>
    <x v="1"/>
    <x v="1"/>
    <x v="0"/>
    <n v="200"/>
    <x v="0"/>
    <n v="0"/>
    <s v="１"/>
    <s v="０"/>
    <m/>
    <x v="0"/>
    <m/>
    <m/>
    <m/>
    <m/>
    <m/>
    <m/>
    <m/>
    <m/>
    <m/>
  </r>
  <r>
    <x v="1"/>
    <x v="1"/>
    <x v="1"/>
    <n v="200"/>
    <x v="26"/>
    <n v="1"/>
    <s v="１"/>
    <s v="１"/>
    <m/>
    <x v="0"/>
    <m/>
    <m/>
    <m/>
    <m/>
    <m/>
    <m/>
    <m/>
    <m/>
    <m/>
  </r>
  <r>
    <x v="1"/>
    <x v="1"/>
    <x v="2"/>
    <n v="200"/>
    <x v="0"/>
    <n v="0"/>
    <s v="１"/>
    <s v="０"/>
    <m/>
    <x v="0"/>
    <m/>
    <m/>
    <m/>
    <m/>
    <m/>
    <m/>
    <m/>
    <m/>
    <m/>
  </r>
  <r>
    <x v="1"/>
    <x v="1"/>
    <x v="3"/>
    <n v="200"/>
    <x v="0"/>
    <n v="0"/>
    <s v="１"/>
    <s v="０"/>
    <m/>
    <x v="0"/>
    <m/>
    <m/>
    <m/>
    <m/>
    <m/>
    <m/>
    <m/>
    <m/>
    <m/>
  </r>
  <r>
    <x v="1"/>
    <x v="1"/>
    <x v="4"/>
    <n v="200"/>
    <x v="0"/>
    <n v="0"/>
    <s v="１"/>
    <s v="０"/>
    <m/>
    <x v="0"/>
    <m/>
    <m/>
    <m/>
    <m/>
    <m/>
    <m/>
    <m/>
    <m/>
    <m/>
  </r>
  <r>
    <x v="1"/>
    <x v="1"/>
    <x v="5"/>
    <n v="200"/>
    <x v="0"/>
    <n v="0"/>
    <s v="１"/>
    <s v="０"/>
    <m/>
    <x v="0"/>
    <m/>
    <m/>
    <m/>
    <m/>
    <m/>
    <m/>
    <m/>
    <m/>
    <m/>
  </r>
  <r>
    <x v="1"/>
    <x v="1"/>
    <x v="6"/>
    <n v="200"/>
    <x v="0"/>
    <n v="0"/>
    <s v="１"/>
    <m/>
    <m/>
    <x v="1"/>
    <m/>
    <m/>
    <m/>
    <m/>
    <m/>
    <m/>
    <m/>
    <m/>
    <m/>
  </r>
  <r>
    <x v="1"/>
    <x v="1"/>
    <x v="7"/>
    <n v="200"/>
    <x v="0"/>
    <n v="0"/>
    <s v="１"/>
    <m/>
    <m/>
    <x v="1"/>
    <m/>
    <m/>
    <m/>
    <m/>
    <m/>
    <m/>
    <m/>
    <m/>
    <m/>
  </r>
  <r>
    <x v="1"/>
    <x v="1"/>
    <x v="8"/>
    <n v="200"/>
    <x v="8"/>
    <n v="0"/>
    <s v="１"/>
    <m/>
    <m/>
    <x v="1"/>
    <m/>
    <m/>
    <m/>
    <m/>
    <m/>
    <m/>
    <m/>
    <m/>
    <m/>
  </r>
  <r>
    <x v="1"/>
    <x v="1"/>
    <x v="9"/>
    <n v="200"/>
    <x v="8"/>
    <n v="0"/>
    <s v="１"/>
    <m/>
    <m/>
    <x v="1"/>
    <m/>
    <m/>
    <m/>
    <m/>
    <m/>
    <m/>
    <m/>
    <m/>
    <m/>
  </r>
  <r>
    <x v="1"/>
    <x v="1"/>
    <x v="10"/>
    <n v="200"/>
    <x v="8"/>
    <n v="0"/>
    <s v="１"/>
    <m/>
    <m/>
    <x v="1"/>
    <m/>
    <m/>
    <m/>
    <m/>
    <m/>
    <m/>
    <m/>
    <m/>
    <m/>
  </r>
  <r>
    <x v="1"/>
    <x v="1"/>
    <x v="11"/>
    <n v="200"/>
    <x v="8"/>
    <n v="0"/>
    <m/>
    <m/>
    <m/>
    <x v="1"/>
    <m/>
    <m/>
    <m/>
    <m/>
    <m/>
    <m/>
    <m/>
    <m/>
    <m/>
  </r>
  <r>
    <x v="1"/>
    <x v="2"/>
    <x v="0"/>
    <m/>
    <x v="27"/>
    <n v="0"/>
    <m/>
    <s v="２"/>
    <m/>
    <x v="0"/>
    <m/>
    <m/>
    <m/>
    <m/>
    <m/>
    <m/>
    <m/>
    <m/>
    <m/>
  </r>
  <r>
    <x v="1"/>
    <x v="2"/>
    <x v="1"/>
    <m/>
    <x v="0"/>
    <n v="0"/>
    <m/>
    <s v="０"/>
    <m/>
    <x v="0"/>
    <m/>
    <m/>
    <m/>
    <m/>
    <m/>
    <m/>
    <m/>
    <m/>
    <m/>
  </r>
  <r>
    <x v="1"/>
    <x v="2"/>
    <x v="2"/>
    <m/>
    <x v="28"/>
    <n v="0"/>
    <m/>
    <s v="１"/>
    <m/>
    <x v="0"/>
    <m/>
    <m/>
    <m/>
    <m/>
    <m/>
    <m/>
    <m/>
    <m/>
    <m/>
  </r>
  <r>
    <x v="1"/>
    <x v="2"/>
    <x v="3"/>
    <m/>
    <x v="29"/>
    <n v="0"/>
    <m/>
    <s v="６"/>
    <m/>
    <x v="0"/>
    <m/>
    <m/>
    <m/>
    <m/>
    <m/>
    <m/>
    <m/>
    <m/>
    <m/>
  </r>
  <r>
    <x v="1"/>
    <x v="2"/>
    <x v="4"/>
    <m/>
    <x v="0"/>
    <n v="0"/>
    <m/>
    <s v="０"/>
    <m/>
    <x v="0"/>
    <m/>
    <m/>
    <m/>
    <m/>
    <m/>
    <m/>
    <m/>
    <m/>
    <m/>
  </r>
  <r>
    <x v="1"/>
    <x v="2"/>
    <x v="5"/>
    <m/>
    <x v="0"/>
    <n v="0"/>
    <m/>
    <s v="０"/>
    <m/>
    <x v="0"/>
    <m/>
    <m/>
    <m/>
    <m/>
    <m/>
    <m/>
    <m/>
    <m/>
    <m/>
  </r>
  <r>
    <x v="1"/>
    <x v="2"/>
    <x v="6"/>
    <m/>
    <x v="8"/>
    <n v="0"/>
    <m/>
    <s v="０"/>
    <m/>
    <x v="1"/>
    <m/>
    <m/>
    <m/>
    <m/>
    <m/>
    <m/>
    <m/>
    <m/>
    <m/>
  </r>
  <r>
    <x v="1"/>
    <x v="2"/>
    <x v="7"/>
    <m/>
    <x v="8"/>
    <n v="0"/>
    <m/>
    <s v="０"/>
    <m/>
    <x v="1"/>
    <m/>
    <m/>
    <m/>
    <m/>
    <m/>
    <m/>
    <m/>
    <m/>
    <m/>
  </r>
  <r>
    <x v="1"/>
    <x v="2"/>
    <x v="8"/>
    <m/>
    <x v="8"/>
    <n v="0"/>
    <m/>
    <s v="０"/>
    <m/>
    <x v="1"/>
    <m/>
    <m/>
    <m/>
    <m/>
    <m/>
    <m/>
    <m/>
    <m/>
    <m/>
  </r>
  <r>
    <x v="1"/>
    <x v="2"/>
    <x v="9"/>
    <m/>
    <x v="8"/>
    <n v="0"/>
    <m/>
    <s v="０"/>
    <m/>
    <x v="1"/>
    <m/>
    <m/>
    <m/>
    <m/>
    <m/>
    <m/>
    <m/>
    <m/>
    <m/>
  </r>
  <r>
    <x v="1"/>
    <x v="2"/>
    <x v="10"/>
    <m/>
    <x v="8"/>
    <n v="0"/>
    <m/>
    <s v="０"/>
    <m/>
    <x v="1"/>
    <m/>
    <m/>
    <m/>
    <m/>
    <m/>
    <m/>
    <m/>
    <m/>
    <m/>
  </r>
  <r>
    <x v="1"/>
    <x v="2"/>
    <x v="11"/>
    <m/>
    <x v="8"/>
    <n v="0"/>
    <m/>
    <s v="０"/>
    <m/>
    <x v="1"/>
    <m/>
    <m/>
    <m/>
    <m/>
    <m/>
    <m/>
    <m/>
    <m/>
    <m/>
  </r>
  <r>
    <x v="1"/>
    <x v="4"/>
    <x v="0"/>
    <m/>
    <x v="30"/>
    <n v="0"/>
    <m/>
    <m/>
    <m/>
    <x v="0"/>
    <m/>
    <m/>
    <m/>
    <m/>
    <m/>
    <m/>
    <m/>
    <m/>
    <m/>
  </r>
  <r>
    <x v="1"/>
    <x v="4"/>
    <x v="1"/>
    <m/>
    <x v="31"/>
    <n v="0"/>
    <m/>
    <m/>
    <m/>
    <x v="0"/>
    <m/>
    <m/>
    <m/>
    <m/>
    <m/>
    <m/>
    <m/>
    <m/>
    <m/>
  </r>
  <r>
    <x v="1"/>
    <x v="4"/>
    <x v="2"/>
    <m/>
    <x v="31"/>
    <n v="0"/>
    <m/>
    <m/>
    <m/>
    <x v="0"/>
    <m/>
    <m/>
    <m/>
    <m/>
    <m/>
    <m/>
    <m/>
    <m/>
    <m/>
  </r>
  <r>
    <x v="1"/>
    <x v="4"/>
    <x v="3"/>
    <m/>
    <x v="31"/>
    <n v="0"/>
    <m/>
    <m/>
    <m/>
    <x v="0"/>
    <m/>
    <m/>
    <m/>
    <m/>
    <m/>
    <m/>
    <m/>
    <m/>
    <m/>
  </r>
  <r>
    <x v="1"/>
    <x v="4"/>
    <x v="4"/>
    <m/>
    <x v="32"/>
    <n v="0"/>
    <m/>
    <m/>
    <m/>
    <x v="0"/>
    <m/>
    <m/>
    <m/>
    <m/>
    <m/>
    <m/>
    <m/>
    <m/>
    <m/>
  </r>
  <r>
    <x v="1"/>
    <x v="4"/>
    <x v="5"/>
    <m/>
    <x v="32"/>
    <n v="0"/>
    <m/>
    <m/>
    <m/>
    <x v="0"/>
    <m/>
    <m/>
    <m/>
    <m/>
    <m/>
    <m/>
    <m/>
    <m/>
    <m/>
  </r>
  <r>
    <x v="1"/>
    <x v="4"/>
    <x v="6"/>
    <m/>
    <x v="32"/>
    <n v="0"/>
    <m/>
    <m/>
    <m/>
    <x v="1"/>
    <m/>
    <m/>
    <m/>
    <m/>
    <m/>
    <m/>
    <m/>
    <m/>
    <m/>
  </r>
  <r>
    <x v="1"/>
    <x v="4"/>
    <x v="7"/>
    <m/>
    <x v="33"/>
    <n v="0"/>
    <m/>
    <m/>
    <m/>
    <x v="1"/>
    <m/>
    <m/>
    <m/>
    <m/>
    <m/>
    <m/>
    <m/>
    <m/>
    <m/>
  </r>
  <r>
    <x v="1"/>
    <x v="4"/>
    <x v="8"/>
    <m/>
    <x v="8"/>
    <n v="0"/>
    <m/>
    <m/>
    <m/>
    <x v="1"/>
    <m/>
    <m/>
    <m/>
    <m/>
    <m/>
    <m/>
    <m/>
    <m/>
    <m/>
  </r>
  <r>
    <x v="1"/>
    <x v="4"/>
    <x v="9"/>
    <m/>
    <x v="8"/>
    <n v="0"/>
    <m/>
    <m/>
    <m/>
    <x v="1"/>
    <m/>
    <m/>
    <m/>
    <m/>
    <m/>
    <m/>
    <m/>
    <m/>
    <m/>
  </r>
  <r>
    <x v="1"/>
    <x v="4"/>
    <x v="10"/>
    <m/>
    <x v="8"/>
    <n v="0"/>
    <m/>
    <m/>
    <m/>
    <x v="1"/>
    <m/>
    <m/>
    <m/>
    <m/>
    <m/>
    <m/>
    <m/>
    <m/>
    <m/>
  </r>
  <r>
    <x v="1"/>
    <x v="4"/>
    <x v="11"/>
    <m/>
    <x v="8"/>
    <n v="0"/>
    <m/>
    <m/>
    <m/>
    <x v="1"/>
    <m/>
    <m/>
    <m/>
    <m/>
    <m/>
    <m/>
    <m/>
    <m/>
    <m/>
  </r>
  <r>
    <x v="2"/>
    <x v="5"/>
    <x v="0"/>
    <n v="0"/>
    <x v="34"/>
    <n v="0"/>
    <s v="０"/>
    <s v="４"/>
    <m/>
    <x v="0"/>
    <m/>
    <m/>
    <m/>
    <m/>
    <m/>
    <m/>
    <m/>
    <m/>
    <m/>
  </r>
  <r>
    <x v="2"/>
    <x v="5"/>
    <x v="1"/>
    <n v="400"/>
    <x v="35"/>
    <n v="0.3725"/>
    <n v="20"/>
    <s v="７"/>
    <m/>
    <x v="0"/>
    <m/>
    <m/>
    <m/>
    <m/>
    <m/>
    <m/>
    <m/>
    <m/>
    <m/>
  </r>
  <r>
    <x v="2"/>
    <x v="5"/>
    <x v="2"/>
    <n v="0"/>
    <x v="36"/>
    <n v="0"/>
    <s v="０"/>
    <n v="3"/>
    <m/>
    <x v="0"/>
    <m/>
    <m/>
    <m/>
    <m/>
    <m/>
    <m/>
    <m/>
    <m/>
    <m/>
  </r>
  <r>
    <x v="2"/>
    <x v="5"/>
    <x v="3"/>
    <n v="400"/>
    <x v="37"/>
    <n v="0.31"/>
    <n v="20"/>
    <n v="6"/>
    <m/>
    <x v="0"/>
    <m/>
    <m/>
    <m/>
    <m/>
    <m/>
    <m/>
    <m/>
    <m/>
    <m/>
  </r>
  <r>
    <x v="2"/>
    <x v="5"/>
    <x v="4"/>
    <n v="0"/>
    <x v="38"/>
    <n v="0"/>
    <s v="０"/>
    <n v="9"/>
    <m/>
    <x v="0"/>
    <m/>
    <m/>
    <m/>
    <m/>
    <m/>
    <m/>
    <m/>
    <m/>
    <m/>
  </r>
  <r>
    <x v="2"/>
    <x v="5"/>
    <x v="5"/>
    <n v="400"/>
    <x v="39"/>
    <n v="0.205"/>
    <n v="20"/>
    <s v="４"/>
    <m/>
    <x v="0"/>
    <m/>
    <m/>
    <m/>
    <m/>
    <m/>
    <m/>
    <m/>
    <m/>
    <m/>
  </r>
  <r>
    <x v="2"/>
    <x v="5"/>
    <x v="6"/>
    <n v="400"/>
    <x v="40"/>
    <n v="0.2675"/>
    <n v="20"/>
    <s v="５"/>
    <m/>
    <x v="1"/>
    <m/>
    <m/>
    <m/>
    <m/>
    <m/>
    <m/>
    <m/>
    <m/>
    <m/>
  </r>
  <r>
    <x v="2"/>
    <x v="5"/>
    <x v="7"/>
    <n v="400"/>
    <x v="41"/>
    <n v="1.0875"/>
    <n v="20"/>
    <n v="21"/>
    <m/>
    <x v="1"/>
    <m/>
    <m/>
    <m/>
    <m/>
    <m/>
    <m/>
    <m/>
    <m/>
    <m/>
  </r>
  <r>
    <x v="2"/>
    <x v="5"/>
    <x v="8"/>
    <n v="0"/>
    <x v="8"/>
    <n v="0"/>
    <s v="０"/>
    <m/>
    <m/>
    <x v="1"/>
    <m/>
    <m/>
    <m/>
    <m/>
    <m/>
    <m/>
    <m/>
    <m/>
    <m/>
  </r>
  <r>
    <x v="2"/>
    <x v="5"/>
    <x v="9"/>
    <n v="400"/>
    <x v="0"/>
    <n v="0"/>
    <n v="20"/>
    <m/>
    <m/>
    <x v="1"/>
    <m/>
    <m/>
    <m/>
    <m/>
    <m/>
    <m/>
    <m/>
    <m/>
    <m/>
  </r>
  <r>
    <x v="2"/>
    <x v="5"/>
    <x v="10"/>
    <n v="0"/>
    <x v="0"/>
    <n v="0"/>
    <m/>
    <m/>
    <m/>
    <x v="1"/>
    <m/>
    <m/>
    <m/>
    <m/>
    <m/>
    <m/>
    <m/>
    <m/>
    <m/>
  </r>
  <r>
    <x v="2"/>
    <x v="5"/>
    <x v="11"/>
    <n v="400"/>
    <x v="0"/>
    <n v="0"/>
    <n v="20"/>
    <m/>
    <m/>
    <x v="1"/>
    <m/>
    <m/>
    <m/>
    <m/>
    <m/>
    <m/>
    <m/>
    <m/>
    <m/>
  </r>
  <r>
    <x v="2"/>
    <x v="6"/>
    <x v="0"/>
    <n v="0"/>
    <x v="0"/>
    <n v="0"/>
    <m/>
    <m/>
    <m/>
    <x v="0"/>
    <m/>
    <m/>
    <m/>
    <m/>
    <m/>
    <m/>
    <m/>
    <m/>
    <m/>
  </r>
  <r>
    <x v="2"/>
    <x v="6"/>
    <x v="1"/>
    <n v="0"/>
    <x v="0"/>
    <n v="0"/>
    <m/>
    <m/>
    <m/>
    <x v="0"/>
    <m/>
    <m/>
    <m/>
    <m/>
    <m/>
    <m/>
    <m/>
    <m/>
    <m/>
  </r>
  <r>
    <x v="2"/>
    <x v="6"/>
    <x v="2"/>
    <n v="0"/>
    <x v="0"/>
    <n v="0"/>
    <m/>
    <m/>
    <m/>
    <x v="0"/>
    <m/>
    <m/>
    <m/>
    <m/>
    <m/>
    <m/>
    <m/>
    <m/>
    <m/>
  </r>
  <r>
    <x v="2"/>
    <x v="6"/>
    <x v="3"/>
    <n v="0"/>
    <x v="8"/>
    <n v="0"/>
    <m/>
    <m/>
    <m/>
    <x v="0"/>
    <m/>
    <m/>
    <m/>
    <m/>
    <m/>
    <m/>
    <m/>
    <m/>
    <m/>
  </r>
  <r>
    <x v="2"/>
    <x v="6"/>
    <x v="4"/>
    <n v="0"/>
    <x v="8"/>
    <n v="0"/>
    <m/>
    <m/>
    <m/>
    <x v="0"/>
    <m/>
    <m/>
    <m/>
    <m/>
    <m/>
    <m/>
    <m/>
    <m/>
    <m/>
  </r>
  <r>
    <x v="2"/>
    <x v="6"/>
    <x v="5"/>
    <n v="0"/>
    <x v="8"/>
    <n v="0"/>
    <m/>
    <m/>
    <m/>
    <x v="0"/>
    <m/>
    <m/>
    <m/>
    <m/>
    <m/>
    <m/>
    <m/>
    <m/>
    <m/>
  </r>
  <r>
    <x v="2"/>
    <x v="6"/>
    <x v="6"/>
    <n v="0"/>
    <x v="0"/>
    <n v="0"/>
    <m/>
    <m/>
    <m/>
    <x v="1"/>
    <m/>
    <m/>
    <m/>
    <m/>
    <m/>
    <m/>
    <m/>
    <m/>
    <m/>
  </r>
  <r>
    <x v="2"/>
    <x v="6"/>
    <x v="7"/>
    <n v="0"/>
    <x v="0"/>
    <n v="0"/>
    <m/>
    <m/>
    <m/>
    <x v="1"/>
    <m/>
    <m/>
    <m/>
    <m/>
    <m/>
    <m/>
    <m/>
    <m/>
    <m/>
  </r>
  <r>
    <x v="2"/>
    <x v="6"/>
    <x v="8"/>
    <n v="0"/>
    <x v="8"/>
    <n v="0"/>
    <m/>
    <m/>
    <m/>
    <x v="1"/>
    <m/>
    <m/>
    <m/>
    <m/>
    <m/>
    <m/>
    <m/>
    <m/>
    <m/>
  </r>
  <r>
    <x v="2"/>
    <x v="6"/>
    <x v="9"/>
    <n v="0"/>
    <x v="8"/>
    <n v="0"/>
    <m/>
    <m/>
    <m/>
    <x v="1"/>
    <m/>
    <m/>
    <m/>
    <m/>
    <m/>
    <m/>
    <m/>
    <m/>
    <m/>
  </r>
  <r>
    <x v="2"/>
    <x v="6"/>
    <x v="10"/>
    <n v="0"/>
    <x v="8"/>
    <n v="0"/>
    <m/>
    <m/>
    <m/>
    <x v="1"/>
    <m/>
    <m/>
    <m/>
    <m/>
    <m/>
    <m/>
    <m/>
    <m/>
    <m/>
  </r>
  <r>
    <x v="2"/>
    <x v="6"/>
    <x v="11"/>
    <n v="0"/>
    <x v="8"/>
    <n v="0"/>
    <m/>
    <m/>
    <m/>
    <x v="1"/>
    <m/>
    <m/>
    <m/>
    <m/>
    <m/>
    <m/>
    <m/>
    <m/>
    <m/>
  </r>
  <r>
    <x v="2"/>
    <x v="7"/>
    <x v="0"/>
    <n v="0"/>
    <x v="8"/>
    <n v="0"/>
    <m/>
    <m/>
    <m/>
    <x v="0"/>
    <m/>
    <m/>
    <m/>
    <m/>
    <m/>
    <m/>
    <m/>
    <m/>
    <m/>
  </r>
  <r>
    <x v="2"/>
    <x v="7"/>
    <x v="1"/>
    <n v="0"/>
    <x v="0"/>
    <n v="0"/>
    <m/>
    <m/>
    <m/>
    <x v="0"/>
    <m/>
    <m/>
    <m/>
    <m/>
    <m/>
    <m/>
    <m/>
    <m/>
    <m/>
  </r>
  <r>
    <x v="2"/>
    <x v="7"/>
    <x v="2"/>
    <n v="0"/>
    <x v="0"/>
    <n v="0"/>
    <m/>
    <m/>
    <m/>
    <x v="0"/>
    <m/>
    <m/>
    <m/>
    <m/>
    <m/>
    <m/>
    <m/>
    <m/>
    <m/>
  </r>
  <r>
    <x v="2"/>
    <x v="7"/>
    <x v="3"/>
    <n v="0"/>
    <x v="8"/>
    <n v="0"/>
    <m/>
    <m/>
    <m/>
    <x v="0"/>
    <m/>
    <m/>
    <m/>
    <m/>
    <m/>
    <m/>
    <m/>
    <m/>
    <m/>
  </r>
  <r>
    <x v="2"/>
    <x v="7"/>
    <x v="4"/>
    <n v="0"/>
    <x v="8"/>
    <n v="0"/>
    <m/>
    <m/>
    <m/>
    <x v="0"/>
    <m/>
    <m/>
    <m/>
    <m/>
    <m/>
    <m/>
    <m/>
    <m/>
    <m/>
  </r>
  <r>
    <x v="2"/>
    <x v="7"/>
    <x v="5"/>
    <n v="0"/>
    <x v="8"/>
    <n v="0"/>
    <m/>
    <m/>
    <m/>
    <x v="0"/>
    <m/>
    <m/>
    <m/>
    <m/>
    <m/>
    <m/>
    <m/>
    <m/>
    <m/>
  </r>
  <r>
    <x v="2"/>
    <x v="7"/>
    <x v="6"/>
    <n v="0"/>
    <x v="0"/>
    <n v="0"/>
    <m/>
    <m/>
    <m/>
    <x v="1"/>
    <m/>
    <m/>
    <m/>
    <m/>
    <m/>
    <m/>
    <m/>
    <m/>
    <m/>
  </r>
  <r>
    <x v="2"/>
    <x v="7"/>
    <x v="7"/>
    <n v="0"/>
    <x v="0"/>
    <n v="0"/>
    <m/>
    <m/>
    <m/>
    <x v="1"/>
    <m/>
    <m/>
    <m/>
    <m/>
    <m/>
    <m/>
    <m/>
    <m/>
    <m/>
  </r>
  <r>
    <x v="2"/>
    <x v="7"/>
    <x v="8"/>
    <n v="0"/>
    <x v="8"/>
    <n v="0"/>
    <m/>
    <m/>
    <m/>
    <x v="1"/>
    <m/>
    <m/>
    <m/>
    <m/>
    <m/>
    <m/>
    <m/>
    <m/>
    <m/>
  </r>
  <r>
    <x v="2"/>
    <x v="7"/>
    <x v="9"/>
    <n v="0"/>
    <x v="8"/>
    <n v="0"/>
    <m/>
    <m/>
    <m/>
    <x v="1"/>
    <m/>
    <m/>
    <m/>
    <m/>
    <m/>
    <m/>
    <m/>
    <m/>
    <m/>
  </r>
  <r>
    <x v="2"/>
    <x v="7"/>
    <x v="10"/>
    <n v="0"/>
    <x v="8"/>
    <n v="0"/>
    <m/>
    <m/>
    <m/>
    <x v="1"/>
    <m/>
    <m/>
    <m/>
    <m/>
    <m/>
    <m/>
    <m/>
    <m/>
    <m/>
  </r>
  <r>
    <x v="2"/>
    <x v="7"/>
    <x v="11"/>
    <n v="0"/>
    <x v="8"/>
    <n v="0"/>
    <m/>
    <m/>
    <m/>
    <x v="1"/>
    <m/>
    <m/>
    <m/>
    <m/>
    <m/>
    <m/>
    <m/>
    <m/>
    <m/>
  </r>
  <r>
    <x v="3"/>
    <x v="8"/>
    <x v="0"/>
    <n v="5600"/>
    <x v="42"/>
    <n v="0.6517857142857143"/>
    <n v="30"/>
    <n v="40"/>
    <n v="1.333333333333333"/>
    <x v="0"/>
    <m/>
    <m/>
    <m/>
    <m/>
    <m/>
    <m/>
    <m/>
    <m/>
    <m/>
  </r>
  <r>
    <x v="3"/>
    <x v="8"/>
    <x v="1"/>
    <n v="5600"/>
    <x v="43"/>
    <n v="0.9169642857142857"/>
    <n v="30"/>
    <n v="42"/>
    <n v="1.4"/>
    <x v="0"/>
    <m/>
    <m/>
    <m/>
    <m/>
    <m/>
    <m/>
    <m/>
    <m/>
    <m/>
  </r>
  <r>
    <x v="3"/>
    <x v="8"/>
    <x v="2"/>
    <n v="5600"/>
    <x v="44"/>
    <n v="0.9705357142857143"/>
    <n v="30"/>
    <n v="44"/>
    <n v="1.466666666666667"/>
    <x v="0"/>
    <m/>
    <m/>
    <m/>
    <m/>
    <m/>
    <m/>
    <m/>
    <m/>
    <m/>
  </r>
  <r>
    <x v="3"/>
    <x v="8"/>
    <x v="3"/>
    <n v="5600"/>
    <x v="45"/>
    <n v="0.56875"/>
    <n v="30"/>
    <n v="17"/>
    <n v="0.5666666666666667"/>
    <x v="0"/>
    <m/>
    <m/>
    <m/>
    <m/>
    <m/>
    <m/>
    <m/>
    <m/>
    <m/>
  </r>
  <r>
    <x v="3"/>
    <x v="8"/>
    <x v="4"/>
    <n v="5600"/>
    <x v="46"/>
    <n v="0.6676785714285715"/>
    <n v="30"/>
    <n v="46"/>
    <n v="1.533333333333333"/>
    <x v="0"/>
    <m/>
    <m/>
    <m/>
    <m/>
    <m/>
    <m/>
    <m/>
    <m/>
    <m/>
  </r>
  <r>
    <x v="3"/>
    <x v="8"/>
    <x v="5"/>
    <n v="5600"/>
    <x v="47"/>
    <n v="0.6633928571428571"/>
    <n v="30"/>
    <n v="39"/>
    <n v="1.3"/>
    <x v="0"/>
    <m/>
    <m/>
    <m/>
    <m/>
    <m/>
    <m/>
    <m/>
    <m/>
    <m/>
  </r>
  <r>
    <x v="3"/>
    <x v="8"/>
    <x v="6"/>
    <n v="5600"/>
    <x v="48"/>
    <n v="0.6258928571428571"/>
    <n v="30"/>
    <n v="31"/>
    <n v="1.033333333333333"/>
    <x v="1"/>
    <m/>
    <m/>
    <m/>
    <m/>
    <m/>
    <m/>
    <m/>
    <m/>
    <m/>
  </r>
  <r>
    <x v="3"/>
    <x v="8"/>
    <x v="7"/>
    <n v="5600"/>
    <x v="49"/>
    <n v="0.7366071428571429"/>
    <n v="30"/>
    <n v="29"/>
    <n v="0.9666666666666667"/>
    <x v="1"/>
    <m/>
    <m/>
    <m/>
    <m/>
    <m/>
    <m/>
    <m/>
    <m/>
    <m/>
  </r>
  <r>
    <x v="3"/>
    <x v="8"/>
    <x v="8"/>
    <n v="5600"/>
    <x v="0"/>
    <n v="0"/>
    <n v="30"/>
    <m/>
    <n v="0"/>
    <x v="1"/>
    <m/>
    <m/>
    <m/>
    <m/>
    <m/>
    <m/>
    <m/>
    <m/>
    <m/>
  </r>
  <r>
    <x v="3"/>
    <x v="8"/>
    <x v="9"/>
    <n v="5600"/>
    <x v="0"/>
    <n v="0"/>
    <n v="30"/>
    <m/>
    <n v="0"/>
    <x v="1"/>
    <m/>
    <m/>
    <m/>
    <m/>
    <m/>
    <m/>
    <m/>
    <m/>
    <m/>
  </r>
  <r>
    <x v="3"/>
    <x v="8"/>
    <x v="10"/>
    <n v="5600"/>
    <x v="0"/>
    <n v="0"/>
    <n v="30"/>
    <m/>
    <n v="0"/>
    <x v="1"/>
    <m/>
    <m/>
    <m/>
    <m/>
    <m/>
    <m/>
    <m/>
    <m/>
    <m/>
  </r>
  <r>
    <x v="3"/>
    <x v="8"/>
    <x v="11"/>
    <n v="5600"/>
    <x v="0"/>
    <n v="0"/>
    <n v="30"/>
    <m/>
    <n v="0"/>
    <x v="1"/>
    <m/>
    <m/>
    <m/>
    <m/>
    <m/>
    <m/>
    <m/>
    <m/>
    <m/>
  </r>
  <r>
    <x v="3"/>
    <x v="9"/>
    <x v="12"/>
    <n v="33600"/>
    <x v="50"/>
    <n v="0.7398511904761905"/>
    <n v="180"/>
    <n v="228"/>
    <n v="1.266666666666667"/>
    <x v="0"/>
    <m/>
    <m/>
    <m/>
    <m/>
    <m/>
    <m/>
    <m/>
    <m/>
    <m/>
  </r>
  <r>
    <x v="3"/>
    <x v="10"/>
    <x v="12"/>
    <n v="33600"/>
    <x v="51"/>
    <n v="0.2270833333333333"/>
    <n v="180"/>
    <n v="60"/>
    <n v="0.3333333333333333"/>
    <x v="1"/>
    <m/>
    <m/>
    <m/>
    <m/>
    <m/>
    <m/>
    <m/>
    <m/>
    <m/>
  </r>
  <r>
    <x v="3"/>
    <x v="11"/>
    <x v="12"/>
    <n v="67200"/>
    <x v="52"/>
    <n v="0.4834672619047619"/>
    <n v="360"/>
    <n v="288"/>
    <n v="0.8"/>
    <x v="2"/>
    <m/>
    <m/>
    <m/>
    <m/>
    <m/>
    <m/>
    <m/>
    <m/>
    <m/>
  </r>
</pivotCacheRecords>
</file>

<file path=xl/pivotCache/pivotCacheRecords2.xml><?xml version="1.0" encoding="utf-8"?>
<pivotCacheRecords xmlns="http://schemas.openxmlformats.org/spreadsheetml/2006/main" count="157">
  <r>
    <x v="0"/>
    <x v="0"/>
    <s v="4月"/>
    <m/>
    <n v="0"/>
    <n v="0"/>
    <m/>
    <m/>
    <m/>
    <x v="0"/>
    <m/>
    <m/>
    <m/>
    <m/>
    <m/>
    <m/>
    <m/>
    <m/>
    <m/>
  </r>
  <r>
    <x v="0"/>
    <x v="0"/>
    <s v="5月"/>
    <m/>
    <n v="400"/>
    <n v="0"/>
    <m/>
    <m/>
    <m/>
    <x v="0"/>
    <m/>
    <m/>
    <m/>
    <m/>
    <m/>
    <m/>
    <m/>
    <m/>
    <m/>
  </r>
  <r>
    <x v="0"/>
    <x v="0"/>
    <s v="6月"/>
    <m/>
    <n v="800"/>
    <n v="0"/>
    <m/>
    <m/>
    <m/>
    <x v="0"/>
    <m/>
    <m/>
    <m/>
    <m/>
    <m/>
    <m/>
    <m/>
    <m/>
    <m/>
  </r>
  <r>
    <x v="0"/>
    <x v="0"/>
    <s v="7月"/>
    <m/>
    <n v="0"/>
    <n v="0"/>
    <m/>
    <m/>
    <m/>
    <x v="0"/>
    <m/>
    <m/>
    <m/>
    <m/>
    <m/>
    <m/>
    <m/>
    <m/>
    <m/>
  </r>
  <r>
    <x v="0"/>
    <x v="0"/>
    <s v="8月"/>
    <m/>
    <n v="0"/>
    <n v="0"/>
    <m/>
    <m/>
    <m/>
    <x v="0"/>
    <m/>
    <m/>
    <m/>
    <m/>
    <m/>
    <m/>
    <m/>
    <m/>
    <m/>
  </r>
  <r>
    <x v="0"/>
    <x v="0"/>
    <s v="9月"/>
    <m/>
    <n v="0"/>
    <n v="0"/>
    <m/>
    <m/>
    <m/>
    <x v="0"/>
    <m/>
    <m/>
    <m/>
    <m/>
    <m/>
    <m/>
    <m/>
    <m/>
    <m/>
  </r>
  <r>
    <x v="0"/>
    <x v="0"/>
    <s v="10月"/>
    <m/>
    <n v="0"/>
    <n v="0"/>
    <m/>
    <m/>
    <m/>
    <x v="1"/>
    <m/>
    <m/>
    <m/>
    <m/>
    <m/>
    <m/>
    <m/>
    <m/>
    <m/>
  </r>
  <r>
    <x v="0"/>
    <x v="0"/>
    <s v="11月"/>
    <m/>
    <n v="0"/>
    <n v="0"/>
    <m/>
    <m/>
    <m/>
    <x v="1"/>
    <m/>
    <m/>
    <m/>
    <m/>
    <m/>
    <m/>
    <m/>
    <m/>
    <m/>
  </r>
  <r>
    <x v="0"/>
    <x v="0"/>
    <s v="12月"/>
    <m/>
    <n v="0"/>
    <n v="0"/>
    <m/>
    <m/>
    <m/>
    <x v="1"/>
    <m/>
    <m/>
    <m/>
    <m/>
    <m/>
    <m/>
    <m/>
    <m/>
    <m/>
  </r>
  <r>
    <x v="0"/>
    <x v="0"/>
    <s v="1月"/>
    <m/>
    <n v="0"/>
    <n v="0"/>
    <m/>
    <m/>
    <m/>
    <x v="1"/>
    <m/>
    <m/>
    <m/>
    <m/>
    <m/>
    <m/>
    <m/>
    <m/>
    <m/>
  </r>
  <r>
    <x v="0"/>
    <x v="0"/>
    <s v="2月"/>
    <m/>
    <n v="0"/>
    <n v="0"/>
    <m/>
    <m/>
    <m/>
    <x v="1"/>
    <m/>
    <m/>
    <m/>
    <m/>
    <m/>
    <m/>
    <m/>
    <m/>
    <m/>
  </r>
  <r>
    <x v="0"/>
    <x v="0"/>
    <s v="3月"/>
    <m/>
    <n v="0"/>
    <n v="0"/>
    <m/>
    <m/>
    <m/>
    <x v="1"/>
    <m/>
    <m/>
    <m/>
    <m/>
    <m/>
    <m/>
    <m/>
    <m/>
    <m/>
  </r>
  <r>
    <x v="0"/>
    <x v="1"/>
    <s v="4月"/>
    <n v="3000"/>
    <n v="800"/>
    <n v="0.2666666666666667"/>
    <n v="15"/>
    <s v="４"/>
    <m/>
    <x v="0"/>
    <m/>
    <m/>
    <m/>
    <m/>
    <m/>
    <m/>
    <m/>
    <m/>
    <m/>
  </r>
  <r>
    <x v="0"/>
    <x v="1"/>
    <s v="5月"/>
    <n v="3000"/>
    <n v="2400"/>
    <n v="0.8"/>
    <n v="15"/>
    <n v="12"/>
    <m/>
    <x v="0"/>
    <m/>
    <m/>
    <m/>
    <m/>
    <m/>
    <m/>
    <m/>
    <m/>
    <m/>
  </r>
  <r>
    <x v="0"/>
    <x v="1"/>
    <s v="6月"/>
    <n v="3000"/>
    <n v="2400"/>
    <n v="0.8"/>
    <n v="15"/>
    <n v="12"/>
    <m/>
    <x v="0"/>
    <m/>
    <m/>
    <m/>
    <m/>
    <m/>
    <m/>
    <m/>
    <m/>
    <m/>
  </r>
  <r>
    <x v="0"/>
    <x v="1"/>
    <s v="7月"/>
    <n v="3000"/>
    <n v="1000"/>
    <n v="0.3333333333333333"/>
    <n v="15"/>
    <s v="５"/>
    <m/>
    <x v="0"/>
    <m/>
    <m/>
    <m/>
    <m/>
    <m/>
    <m/>
    <m/>
    <m/>
    <m/>
  </r>
  <r>
    <x v="0"/>
    <x v="1"/>
    <s v="8月"/>
    <n v="3000"/>
    <n v="600"/>
    <n v="0.2"/>
    <n v="15"/>
    <s v="３"/>
    <m/>
    <x v="0"/>
    <m/>
    <m/>
    <m/>
    <m/>
    <m/>
    <m/>
    <m/>
    <m/>
    <m/>
  </r>
  <r>
    <x v="0"/>
    <x v="1"/>
    <s v="9月"/>
    <n v="3000"/>
    <n v="1200"/>
    <n v="0.4"/>
    <n v="15"/>
    <s v="６"/>
    <m/>
    <x v="0"/>
    <m/>
    <m/>
    <m/>
    <m/>
    <m/>
    <m/>
    <m/>
    <m/>
    <m/>
  </r>
  <r>
    <x v="0"/>
    <x v="1"/>
    <s v="10月"/>
    <n v="3000"/>
    <n v="800"/>
    <n v="0.2666666666666667"/>
    <n v="15"/>
    <s v="４"/>
    <m/>
    <x v="1"/>
    <m/>
    <m/>
    <m/>
    <m/>
    <m/>
    <m/>
    <m/>
    <m/>
    <m/>
  </r>
  <r>
    <x v="0"/>
    <x v="1"/>
    <s v="11月"/>
    <n v="3000"/>
    <n v="1400"/>
    <n v="0.4666666666666667"/>
    <n v="15"/>
    <s v="７"/>
    <m/>
    <x v="1"/>
    <m/>
    <m/>
    <m/>
    <m/>
    <m/>
    <m/>
    <m/>
    <m/>
    <m/>
  </r>
  <r>
    <x v="0"/>
    <x v="1"/>
    <s v="12月"/>
    <n v="3000"/>
    <m/>
    <n v="0"/>
    <n v="15"/>
    <m/>
    <m/>
    <x v="1"/>
    <m/>
    <m/>
    <m/>
    <m/>
    <m/>
    <m/>
    <m/>
    <m/>
    <m/>
  </r>
  <r>
    <x v="0"/>
    <x v="1"/>
    <s v="1月"/>
    <n v="3000"/>
    <m/>
    <n v="0"/>
    <n v="15"/>
    <m/>
    <m/>
    <x v="1"/>
    <m/>
    <m/>
    <m/>
    <m/>
    <m/>
    <m/>
    <m/>
    <m/>
    <m/>
  </r>
  <r>
    <x v="0"/>
    <x v="1"/>
    <s v="2月"/>
    <n v="3000"/>
    <m/>
    <n v="0"/>
    <n v="15"/>
    <m/>
    <m/>
    <x v="1"/>
    <m/>
    <m/>
    <m/>
    <m/>
    <m/>
    <m/>
    <m/>
    <m/>
    <m/>
  </r>
  <r>
    <x v="0"/>
    <x v="1"/>
    <s v="3月"/>
    <n v="3000"/>
    <m/>
    <n v="0"/>
    <n v="15"/>
    <m/>
    <m/>
    <x v="1"/>
    <m/>
    <m/>
    <m/>
    <m/>
    <m/>
    <m/>
    <m/>
    <m/>
    <m/>
  </r>
  <r>
    <x v="0"/>
    <x v="2"/>
    <s v="4月"/>
    <m/>
    <n v="720"/>
    <n v="0"/>
    <m/>
    <n v="24"/>
    <m/>
    <x v="0"/>
    <m/>
    <m/>
    <m/>
    <m/>
    <m/>
    <m/>
    <m/>
    <m/>
    <m/>
  </r>
  <r>
    <x v="0"/>
    <x v="2"/>
    <s v="5月"/>
    <m/>
    <n v="390"/>
    <n v="0"/>
    <m/>
    <n v="13"/>
    <m/>
    <x v="0"/>
    <m/>
    <m/>
    <m/>
    <m/>
    <m/>
    <m/>
    <m/>
    <m/>
    <m/>
  </r>
  <r>
    <x v="0"/>
    <x v="2"/>
    <s v="6月"/>
    <m/>
    <n v="450"/>
    <n v="0"/>
    <m/>
    <n v="15"/>
    <m/>
    <x v="0"/>
    <m/>
    <m/>
    <m/>
    <m/>
    <m/>
    <m/>
    <m/>
    <m/>
    <m/>
  </r>
  <r>
    <x v="0"/>
    <x v="2"/>
    <s v="7月"/>
    <m/>
    <n v="210"/>
    <n v="0"/>
    <m/>
    <s v="７"/>
    <m/>
    <x v="0"/>
    <m/>
    <m/>
    <m/>
    <m/>
    <m/>
    <m/>
    <m/>
    <m/>
    <m/>
  </r>
  <r>
    <x v="0"/>
    <x v="2"/>
    <s v="8月"/>
    <m/>
    <n v="870"/>
    <n v="0"/>
    <m/>
    <n v="29"/>
    <m/>
    <x v="0"/>
    <m/>
    <m/>
    <m/>
    <m/>
    <m/>
    <m/>
    <m/>
    <m/>
    <m/>
  </r>
  <r>
    <x v="0"/>
    <x v="2"/>
    <s v="9月"/>
    <m/>
    <n v="630"/>
    <n v="0"/>
    <m/>
    <n v="21"/>
    <m/>
    <x v="0"/>
    <m/>
    <m/>
    <m/>
    <m/>
    <m/>
    <m/>
    <m/>
    <m/>
    <m/>
  </r>
  <r>
    <x v="0"/>
    <x v="2"/>
    <s v="10月"/>
    <m/>
    <n v="390"/>
    <n v="0"/>
    <m/>
    <n v="13"/>
    <m/>
    <x v="1"/>
    <m/>
    <m/>
    <m/>
    <m/>
    <m/>
    <m/>
    <m/>
    <m/>
    <m/>
  </r>
  <r>
    <x v="0"/>
    <x v="2"/>
    <s v="11月"/>
    <m/>
    <n v="300"/>
    <n v="0"/>
    <m/>
    <n v="10"/>
    <m/>
    <x v="1"/>
    <m/>
    <m/>
    <m/>
    <m/>
    <m/>
    <m/>
    <m/>
    <m/>
    <m/>
  </r>
  <r>
    <x v="0"/>
    <x v="2"/>
    <s v="12月"/>
    <m/>
    <m/>
    <n v="0"/>
    <m/>
    <m/>
    <m/>
    <x v="1"/>
    <m/>
    <m/>
    <m/>
    <m/>
    <m/>
    <m/>
    <m/>
    <m/>
    <m/>
  </r>
  <r>
    <x v="0"/>
    <x v="2"/>
    <s v="1月"/>
    <m/>
    <m/>
    <n v="0"/>
    <m/>
    <m/>
    <m/>
    <x v="1"/>
    <m/>
    <m/>
    <m/>
    <m/>
    <m/>
    <m/>
    <m/>
    <m/>
    <m/>
  </r>
  <r>
    <x v="0"/>
    <x v="2"/>
    <s v="2月"/>
    <m/>
    <m/>
    <n v="0"/>
    <m/>
    <m/>
    <m/>
    <x v="1"/>
    <m/>
    <m/>
    <m/>
    <m/>
    <m/>
    <m/>
    <m/>
    <m/>
    <m/>
  </r>
  <r>
    <x v="0"/>
    <x v="2"/>
    <s v="3月"/>
    <m/>
    <m/>
    <n v="0"/>
    <m/>
    <m/>
    <m/>
    <x v="1"/>
    <m/>
    <m/>
    <m/>
    <m/>
    <m/>
    <m/>
    <m/>
    <m/>
    <m/>
  </r>
  <r>
    <x v="0"/>
    <x v="3"/>
    <s v="4月"/>
    <n v="1500"/>
    <n v="1600"/>
    <n v="1.066666666666667"/>
    <n v="15"/>
    <n v="16"/>
    <m/>
    <x v="0"/>
    <m/>
    <m/>
    <m/>
    <m/>
    <m/>
    <m/>
    <m/>
    <m/>
    <m/>
  </r>
  <r>
    <x v="0"/>
    <x v="3"/>
    <s v="5月"/>
    <n v="1500"/>
    <n v="1680"/>
    <n v="1.12"/>
    <n v="15"/>
    <n v="17"/>
    <m/>
    <x v="0"/>
    <m/>
    <m/>
    <m/>
    <m/>
    <m/>
    <m/>
    <m/>
    <m/>
    <m/>
  </r>
  <r>
    <x v="0"/>
    <x v="3"/>
    <s v="6月"/>
    <n v="1500"/>
    <n v="1690"/>
    <n v="1.126666666666667"/>
    <n v="15"/>
    <n v="17"/>
    <m/>
    <x v="0"/>
    <m/>
    <m/>
    <m/>
    <m/>
    <m/>
    <m/>
    <m/>
    <m/>
    <m/>
  </r>
  <r>
    <x v="0"/>
    <x v="3"/>
    <s v="7月"/>
    <n v="1500"/>
    <n v="1730"/>
    <n v="1.153333333333333"/>
    <n v="15"/>
    <n v="17"/>
    <m/>
    <x v="0"/>
    <m/>
    <m/>
    <m/>
    <m/>
    <m/>
    <m/>
    <m/>
    <m/>
    <m/>
  </r>
  <r>
    <x v="0"/>
    <x v="3"/>
    <s v="8月"/>
    <n v="1500"/>
    <n v="1770"/>
    <n v="1.18"/>
    <n v="15"/>
    <n v="17"/>
    <m/>
    <x v="0"/>
    <m/>
    <m/>
    <m/>
    <m/>
    <m/>
    <m/>
    <m/>
    <m/>
    <m/>
  </r>
  <r>
    <x v="0"/>
    <x v="3"/>
    <s v="9月"/>
    <n v="1500"/>
    <n v="1800"/>
    <n v="1.2"/>
    <n v="15"/>
    <n v="18"/>
    <m/>
    <x v="0"/>
    <m/>
    <m/>
    <m/>
    <m/>
    <m/>
    <m/>
    <m/>
    <m/>
    <m/>
  </r>
  <r>
    <x v="0"/>
    <x v="3"/>
    <s v="10月"/>
    <n v="1500"/>
    <n v="1830"/>
    <n v="1.22"/>
    <n v="15"/>
    <n v="18"/>
    <m/>
    <x v="1"/>
    <m/>
    <m/>
    <m/>
    <m/>
    <m/>
    <m/>
    <m/>
    <m/>
    <m/>
  </r>
  <r>
    <x v="0"/>
    <x v="3"/>
    <s v="11月"/>
    <n v="1500"/>
    <n v="1930"/>
    <n v="1.286666666666667"/>
    <n v="15"/>
    <n v="19"/>
    <m/>
    <x v="1"/>
    <m/>
    <m/>
    <m/>
    <m/>
    <m/>
    <m/>
    <m/>
    <m/>
    <m/>
  </r>
  <r>
    <x v="0"/>
    <x v="3"/>
    <s v="12月"/>
    <n v="1500"/>
    <m/>
    <n v="0"/>
    <n v="15"/>
    <m/>
    <m/>
    <x v="1"/>
    <m/>
    <m/>
    <m/>
    <m/>
    <m/>
    <m/>
    <m/>
    <m/>
    <m/>
  </r>
  <r>
    <x v="0"/>
    <x v="3"/>
    <s v="1月"/>
    <n v="1500"/>
    <m/>
    <n v="0"/>
    <n v="15"/>
    <m/>
    <m/>
    <x v="1"/>
    <m/>
    <m/>
    <m/>
    <m/>
    <m/>
    <m/>
    <m/>
    <m/>
    <m/>
  </r>
  <r>
    <x v="0"/>
    <x v="3"/>
    <s v="2月"/>
    <n v="1500"/>
    <m/>
    <n v="0"/>
    <n v="15"/>
    <m/>
    <m/>
    <x v="1"/>
    <m/>
    <m/>
    <m/>
    <m/>
    <m/>
    <m/>
    <m/>
    <m/>
    <m/>
  </r>
  <r>
    <x v="0"/>
    <x v="3"/>
    <s v="3月"/>
    <n v="1500"/>
    <m/>
    <n v="0"/>
    <n v="15"/>
    <m/>
    <m/>
    <x v="1"/>
    <m/>
    <m/>
    <m/>
    <m/>
    <m/>
    <m/>
    <m/>
    <m/>
    <m/>
  </r>
  <r>
    <x v="1"/>
    <x v="0"/>
    <s v="4月"/>
    <n v="900"/>
    <n v="400"/>
    <n v="0.4444444444444444"/>
    <m/>
    <m/>
    <m/>
    <x v="0"/>
    <m/>
    <m/>
    <m/>
    <m/>
    <m/>
    <m/>
    <m/>
    <m/>
    <m/>
  </r>
  <r>
    <x v="1"/>
    <x v="0"/>
    <s v="5月"/>
    <n v="900"/>
    <n v="0"/>
    <n v="0"/>
    <m/>
    <m/>
    <m/>
    <x v="0"/>
    <m/>
    <m/>
    <m/>
    <m/>
    <m/>
    <m/>
    <m/>
    <m/>
    <m/>
  </r>
  <r>
    <x v="1"/>
    <x v="0"/>
    <s v="6月"/>
    <n v="900"/>
    <n v="0"/>
    <n v="0"/>
    <m/>
    <m/>
    <m/>
    <x v="0"/>
    <m/>
    <m/>
    <m/>
    <m/>
    <m/>
    <m/>
    <m/>
    <m/>
    <m/>
  </r>
  <r>
    <x v="1"/>
    <x v="0"/>
    <s v="7月"/>
    <n v="900"/>
    <n v="0"/>
    <n v="0"/>
    <m/>
    <m/>
    <m/>
    <x v="0"/>
    <m/>
    <m/>
    <m/>
    <m/>
    <m/>
    <m/>
    <m/>
    <m/>
    <m/>
  </r>
  <r>
    <x v="1"/>
    <x v="0"/>
    <s v="8月"/>
    <n v="900"/>
    <n v="414"/>
    <n v="0.46"/>
    <m/>
    <m/>
    <m/>
    <x v="0"/>
    <m/>
    <m/>
    <m/>
    <m/>
    <m/>
    <m/>
    <m/>
    <m/>
    <m/>
  </r>
  <r>
    <x v="1"/>
    <x v="0"/>
    <s v="9月"/>
    <n v="900"/>
    <n v="0"/>
    <n v="0"/>
    <m/>
    <m/>
    <m/>
    <x v="0"/>
    <m/>
    <m/>
    <m/>
    <m/>
    <m/>
    <m/>
    <m/>
    <m/>
    <m/>
  </r>
  <r>
    <x v="1"/>
    <x v="0"/>
    <s v="10月"/>
    <n v="900"/>
    <n v="400"/>
    <n v="0.4444444444444444"/>
    <m/>
    <m/>
    <m/>
    <x v="1"/>
    <m/>
    <m/>
    <m/>
    <m/>
    <m/>
    <m/>
    <m/>
    <m/>
    <m/>
  </r>
  <r>
    <x v="1"/>
    <x v="0"/>
    <s v="11月"/>
    <n v="900"/>
    <n v="350"/>
    <n v="0.3888888888888889"/>
    <m/>
    <m/>
    <m/>
    <x v="1"/>
    <m/>
    <m/>
    <m/>
    <m/>
    <m/>
    <m/>
    <m/>
    <m/>
    <m/>
  </r>
  <r>
    <x v="1"/>
    <x v="0"/>
    <s v="12月"/>
    <n v="900"/>
    <m/>
    <n v="0"/>
    <m/>
    <m/>
    <m/>
    <x v="1"/>
    <m/>
    <m/>
    <m/>
    <m/>
    <m/>
    <m/>
    <m/>
    <m/>
    <m/>
  </r>
  <r>
    <x v="1"/>
    <x v="0"/>
    <s v="1月"/>
    <n v="900"/>
    <m/>
    <n v="0"/>
    <m/>
    <m/>
    <m/>
    <x v="1"/>
    <m/>
    <m/>
    <m/>
    <m/>
    <m/>
    <m/>
    <m/>
    <m/>
    <m/>
  </r>
  <r>
    <x v="1"/>
    <x v="0"/>
    <s v="2月"/>
    <n v="900"/>
    <m/>
    <n v="0"/>
    <m/>
    <m/>
    <m/>
    <x v="1"/>
    <m/>
    <m/>
    <m/>
    <m/>
    <m/>
    <m/>
    <m/>
    <m/>
    <m/>
  </r>
  <r>
    <x v="1"/>
    <x v="0"/>
    <s v="3月"/>
    <n v="900"/>
    <m/>
    <n v="0"/>
    <m/>
    <m/>
    <m/>
    <x v="1"/>
    <m/>
    <m/>
    <m/>
    <m/>
    <m/>
    <m/>
    <m/>
    <m/>
    <m/>
  </r>
  <r>
    <x v="1"/>
    <x v="1"/>
    <s v="4月"/>
    <n v="200"/>
    <n v="0"/>
    <n v="0"/>
    <s v="１"/>
    <s v="０"/>
    <m/>
    <x v="0"/>
    <m/>
    <m/>
    <m/>
    <m/>
    <m/>
    <m/>
    <m/>
    <m/>
    <m/>
  </r>
  <r>
    <x v="1"/>
    <x v="1"/>
    <s v="5月"/>
    <n v="200"/>
    <n v="200"/>
    <n v="1"/>
    <s v="１"/>
    <s v="１"/>
    <m/>
    <x v="0"/>
    <m/>
    <m/>
    <m/>
    <m/>
    <m/>
    <m/>
    <m/>
    <m/>
    <m/>
  </r>
  <r>
    <x v="1"/>
    <x v="1"/>
    <s v="6月"/>
    <n v="200"/>
    <n v="0"/>
    <n v="0"/>
    <s v="１"/>
    <s v="０"/>
    <m/>
    <x v="0"/>
    <m/>
    <m/>
    <m/>
    <m/>
    <m/>
    <m/>
    <m/>
    <m/>
    <m/>
  </r>
  <r>
    <x v="1"/>
    <x v="1"/>
    <s v="7月"/>
    <n v="200"/>
    <n v="0"/>
    <n v="0"/>
    <s v="１"/>
    <s v="０"/>
    <m/>
    <x v="0"/>
    <m/>
    <m/>
    <m/>
    <m/>
    <m/>
    <m/>
    <m/>
    <m/>
    <m/>
  </r>
  <r>
    <x v="1"/>
    <x v="1"/>
    <s v="8月"/>
    <n v="200"/>
    <n v="0"/>
    <n v="0"/>
    <s v="１"/>
    <s v="０"/>
    <m/>
    <x v="0"/>
    <m/>
    <m/>
    <m/>
    <m/>
    <m/>
    <m/>
    <m/>
    <m/>
    <m/>
  </r>
  <r>
    <x v="1"/>
    <x v="1"/>
    <s v="9月"/>
    <n v="200"/>
    <n v="0"/>
    <n v="0"/>
    <s v="１"/>
    <s v="０"/>
    <m/>
    <x v="0"/>
    <m/>
    <m/>
    <m/>
    <m/>
    <m/>
    <m/>
    <m/>
    <m/>
    <m/>
  </r>
  <r>
    <x v="1"/>
    <x v="1"/>
    <s v="10月"/>
    <n v="200"/>
    <n v="0"/>
    <n v="0"/>
    <s v="１"/>
    <m/>
    <m/>
    <x v="1"/>
    <m/>
    <m/>
    <m/>
    <m/>
    <m/>
    <m/>
    <m/>
    <m/>
    <m/>
  </r>
  <r>
    <x v="1"/>
    <x v="1"/>
    <s v="11月"/>
    <n v="200"/>
    <n v="0"/>
    <n v="0"/>
    <s v="１"/>
    <m/>
    <m/>
    <x v="1"/>
    <m/>
    <m/>
    <m/>
    <m/>
    <m/>
    <m/>
    <m/>
    <m/>
    <m/>
  </r>
  <r>
    <x v="1"/>
    <x v="1"/>
    <s v="12月"/>
    <n v="200"/>
    <m/>
    <n v="0"/>
    <s v="１"/>
    <m/>
    <m/>
    <x v="1"/>
    <m/>
    <m/>
    <m/>
    <m/>
    <m/>
    <m/>
    <m/>
    <m/>
    <m/>
  </r>
  <r>
    <x v="1"/>
    <x v="1"/>
    <s v="1月"/>
    <n v="200"/>
    <m/>
    <n v="0"/>
    <s v="１"/>
    <m/>
    <m/>
    <x v="1"/>
    <m/>
    <m/>
    <m/>
    <m/>
    <m/>
    <m/>
    <m/>
    <m/>
    <m/>
  </r>
  <r>
    <x v="1"/>
    <x v="1"/>
    <s v="2月"/>
    <n v="200"/>
    <m/>
    <n v="0"/>
    <s v="１"/>
    <m/>
    <m/>
    <x v="1"/>
    <m/>
    <m/>
    <m/>
    <m/>
    <m/>
    <m/>
    <m/>
    <m/>
    <m/>
  </r>
  <r>
    <x v="1"/>
    <x v="1"/>
    <s v="3月"/>
    <n v="200"/>
    <m/>
    <n v="0"/>
    <m/>
    <m/>
    <m/>
    <x v="1"/>
    <m/>
    <m/>
    <m/>
    <m/>
    <m/>
    <m/>
    <m/>
    <m/>
    <m/>
  </r>
  <r>
    <x v="1"/>
    <x v="2"/>
    <s v="4月"/>
    <m/>
    <n v="60"/>
    <n v="0"/>
    <m/>
    <s v="２"/>
    <m/>
    <x v="0"/>
    <m/>
    <m/>
    <m/>
    <m/>
    <m/>
    <m/>
    <m/>
    <m/>
    <m/>
  </r>
  <r>
    <x v="1"/>
    <x v="2"/>
    <s v="5月"/>
    <m/>
    <n v="0"/>
    <n v="0"/>
    <m/>
    <s v="０"/>
    <m/>
    <x v="0"/>
    <m/>
    <m/>
    <m/>
    <m/>
    <m/>
    <m/>
    <m/>
    <m/>
    <m/>
  </r>
  <r>
    <x v="1"/>
    <x v="2"/>
    <s v="6月"/>
    <m/>
    <n v="30"/>
    <n v="0"/>
    <m/>
    <s v="１"/>
    <m/>
    <x v="0"/>
    <m/>
    <m/>
    <m/>
    <m/>
    <m/>
    <m/>
    <m/>
    <m/>
    <m/>
  </r>
  <r>
    <x v="1"/>
    <x v="2"/>
    <s v="7月"/>
    <m/>
    <n v="180"/>
    <n v="0"/>
    <m/>
    <s v="６"/>
    <m/>
    <x v="0"/>
    <m/>
    <m/>
    <m/>
    <m/>
    <m/>
    <m/>
    <m/>
    <m/>
    <m/>
  </r>
  <r>
    <x v="1"/>
    <x v="2"/>
    <s v="8月"/>
    <m/>
    <n v="0"/>
    <n v="0"/>
    <m/>
    <s v="０"/>
    <m/>
    <x v="0"/>
    <m/>
    <m/>
    <m/>
    <m/>
    <m/>
    <m/>
    <m/>
    <m/>
    <m/>
  </r>
  <r>
    <x v="1"/>
    <x v="2"/>
    <s v="9月"/>
    <m/>
    <n v="0"/>
    <n v="0"/>
    <m/>
    <s v="０"/>
    <m/>
    <x v="0"/>
    <m/>
    <m/>
    <m/>
    <m/>
    <m/>
    <m/>
    <m/>
    <m/>
    <m/>
  </r>
  <r>
    <x v="1"/>
    <x v="2"/>
    <s v="10月"/>
    <m/>
    <m/>
    <n v="0"/>
    <m/>
    <s v="０"/>
    <m/>
    <x v="1"/>
    <m/>
    <m/>
    <m/>
    <m/>
    <m/>
    <m/>
    <m/>
    <m/>
    <m/>
  </r>
  <r>
    <x v="1"/>
    <x v="2"/>
    <s v="11月"/>
    <m/>
    <m/>
    <n v="0"/>
    <m/>
    <s v="０"/>
    <m/>
    <x v="1"/>
    <m/>
    <m/>
    <m/>
    <m/>
    <m/>
    <m/>
    <m/>
    <m/>
    <m/>
  </r>
  <r>
    <x v="1"/>
    <x v="2"/>
    <s v="12月"/>
    <m/>
    <m/>
    <n v="0"/>
    <m/>
    <s v="０"/>
    <m/>
    <x v="1"/>
    <m/>
    <m/>
    <m/>
    <m/>
    <m/>
    <m/>
    <m/>
    <m/>
    <m/>
  </r>
  <r>
    <x v="1"/>
    <x v="2"/>
    <s v="1月"/>
    <m/>
    <m/>
    <n v="0"/>
    <m/>
    <s v="０"/>
    <m/>
    <x v="1"/>
    <m/>
    <m/>
    <m/>
    <m/>
    <m/>
    <m/>
    <m/>
    <m/>
    <m/>
  </r>
  <r>
    <x v="1"/>
    <x v="2"/>
    <s v="2月"/>
    <m/>
    <m/>
    <n v="0"/>
    <m/>
    <s v="０"/>
    <m/>
    <x v="1"/>
    <m/>
    <m/>
    <m/>
    <m/>
    <m/>
    <m/>
    <m/>
    <m/>
    <m/>
  </r>
  <r>
    <x v="1"/>
    <x v="2"/>
    <s v="3月"/>
    <m/>
    <m/>
    <n v="0"/>
    <m/>
    <s v="０"/>
    <m/>
    <x v="1"/>
    <m/>
    <m/>
    <m/>
    <m/>
    <m/>
    <m/>
    <m/>
    <m/>
    <m/>
  </r>
  <r>
    <x v="1"/>
    <x v="4"/>
    <s v="4月"/>
    <m/>
    <n v="70"/>
    <n v="0"/>
    <m/>
    <m/>
    <m/>
    <x v="0"/>
    <m/>
    <m/>
    <m/>
    <m/>
    <m/>
    <m/>
    <m/>
    <m/>
    <m/>
  </r>
  <r>
    <x v="1"/>
    <x v="4"/>
    <s v="5月"/>
    <m/>
    <n v="65"/>
    <n v="0"/>
    <m/>
    <m/>
    <m/>
    <x v="0"/>
    <m/>
    <m/>
    <m/>
    <m/>
    <m/>
    <m/>
    <m/>
    <m/>
    <m/>
  </r>
  <r>
    <x v="1"/>
    <x v="4"/>
    <s v="6月"/>
    <m/>
    <n v="65"/>
    <n v="0"/>
    <m/>
    <m/>
    <m/>
    <x v="0"/>
    <m/>
    <m/>
    <m/>
    <m/>
    <m/>
    <m/>
    <m/>
    <m/>
    <m/>
  </r>
  <r>
    <x v="1"/>
    <x v="4"/>
    <s v="7月"/>
    <m/>
    <n v="65"/>
    <n v="0"/>
    <m/>
    <m/>
    <m/>
    <x v="0"/>
    <m/>
    <m/>
    <m/>
    <m/>
    <m/>
    <m/>
    <m/>
    <m/>
    <m/>
  </r>
  <r>
    <x v="1"/>
    <x v="4"/>
    <s v="8月"/>
    <m/>
    <n v="85"/>
    <n v="0"/>
    <m/>
    <m/>
    <m/>
    <x v="0"/>
    <m/>
    <m/>
    <m/>
    <m/>
    <m/>
    <m/>
    <m/>
    <m/>
    <m/>
  </r>
  <r>
    <x v="1"/>
    <x v="4"/>
    <s v="9月"/>
    <m/>
    <n v="85"/>
    <n v="0"/>
    <m/>
    <m/>
    <m/>
    <x v="0"/>
    <m/>
    <m/>
    <m/>
    <m/>
    <m/>
    <m/>
    <m/>
    <m/>
    <m/>
  </r>
  <r>
    <x v="1"/>
    <x v="4"/>
    <s v="10月"/>
    <m/>
    <n v="85"/>
    <n v="0"/>
    <m/>
    <m/>
    <m/>
    <x v="1"/>
    <m/>
    <m/>
    <m/>
    <m/>
    <m/>
    <m/>
    <m/>
    <m/>
    <m/>
  </r>
  <r>
    <x v="1"/>
    <x v="4"/>
    <s v="11月"/>
    <m/>
    <n v="145"/>
    <n v="0"/>
    <m/>
    <m/>
    <m/>
    <x v="1"/>
    <m/>
    <m/>
    <m/>
    <m/>
    <m/>
    <m/>
    <m/>
    <m/>
    <m/>
  </r>
  <r>
    <x v="1"/>
    <x v="4"/>
    <s v="12月"/>
    <m/>
    <m/>
    <n v="0"/>
    <m/>
    <m/>
    <m/>
    <x v="1"/>
    <m/>
    <m/>
    <m/>
    <m/>
    <m/>
    <m/>
    <m/>
    <m/>
    <m/>
  </r>
  <r>
    <x v="1"/>
    <x v="4"/>
    <s v="1月"/>
    <m/>
    <m/>
    <n v="0"/>
    <m/>
    <m/>
    <m/>
    <x v="1"/>
    <m/>
    <m/>
    <m/>
    <m/>
    <m/>
    <m/>
    <m/>
    <m/>
    <m/>
  </r>
  <r>
    <x v="1"/>
    <x v="4"/>
    <s v="2月"/>
    <m/>
    <m/>
    <n v="0"/>
    <m/>
    <m/>
    <m/>
    <x v="1"/>
    <m/>
    <m/>
    <m/>
    <m/>
    <m/>
    <m/>
    <m/>
    <m/>
    <m/>
  </r>
  <r>
    <x v="1"/>
    <x v="4"/>
    <s v="3月"/>
    <m/>
    <m/>
    <n v="0"/>
    <m/>
    <m/>
    <m/>
    <x v="1"/>
    <m/>
    <m/>
    <m/>
    <m/>
    <m/>
    <m/>
    <m/>
    <m/>
    <m/>
  </r>
  <r>
    <x v="2"/>
    <x v="5"/>
    <s v="4月"/>
    <n v="0"/>
    <n v="88"/>
    <n v="0"/>
    <s v="０"/>
    <s v="４"/>
    <m/>
    <x v="0"/>
    <m/>
    <m/>
    <m/>
    <m/>
    <m/>
    <m/>
    <m/>
    <m/>
    <m/>
  </r>
  <r>
    <x v="2"/>
    <x v="5"/>
    <s v="5月"/>
    <n v="400"/>
    <n v="149"/>
    <n v="0.3725"/>
    <n v="20"/>
    <s v="７"/>
    <m/>
    <x v="0"/>
    <m/>
    <m/>
    <m/>
    <m/>
    <m/>
    <m/>
    <m/>
    <m/>
    <m/>
  </r>
  <r>
    <x v="2"/>
    <x v="5"/>
    <s v="6月"/>
    <n v="0"/>
    <n v="67"/>
    <n v="0"/>
    <s v="０"/>
    <n v="3"/>
    <m/>
    <x v="0"/>
    <m/>
    <m/>
    <m/>
    <m/>
    <m/>
    <m/>
    <m/>
    <m/>
    <m/>
  </r>
  <r>
    <x v="2"/>
    <x v="5"/>
    <s v="7月"/>
    <n v="400"/>
    <n v="124"/>
    <n v="0.31"/>
    <n v="20"/>
    <n v="6"/>
    <m/>
    <x v="0"/>
    <m/>
    <m/>
    <m/>
    <m/>
    <m/>
    <m/>
    <m/>
    <m/>
    <m/>
  </r>
  <r>
    <x v="2"/>
    <x v="5"/>
    <s v="8月"/>
    <n v="0"/>
    <n v="186"/>
    <n v="0"/>
    <s v="０"/>
    <n v="9"/>
    <m/>
    <x v="0"/>
    <m/>
    <m/>
    <m/>
    <m/>
    <m/>
    <m/>
    <m/>
    <m/>
    <m/>
  </r>
  <r>
    <x v="2"/>
    <x v="5"/>
    <s v="9月"/>
    <n v="400"/>
    <n v="82"/>
    <n v="0.205"/>
    <n v="20"/>
    <s v="４"/>
    <m/>
    <x v="0"/>
    <m/>
    <m/>
    <m/>
    <m/>
    <m/>
    <m/>
    <m/>
    <m/>
    <m/>
  </r>
  <r>
    <x v="2"/>
    <x v="5"/>
    <s v="10月"/>
    <n v="400"/>
    <n v="107"/>
    <n v="0.2675"/>
    <n v="20"/>
    <s v="５"/>
    <m/>
    <x v="1"/>
    <m/>
    <m/>
    <m/>
    <m/>
    <m/>
    <m/>
    <m/>
    <m/>
    <m/>
  </r>
  <r>
    <x v="2"/>
    <x v="5"/>
    <s v="11月"/>
    <n v="400"/>
    <n v="435"/>
    <n v="1.0875"/>
    <n v="20"/>
    <n v="21"/>
    <m/>
    <x v="1"/>
    <m/>
    <m/>
    <m/>
    <m/>
    <m/>
    <m/>
    <m/>
    <m/>
    <m/>
  </r>
  <r>
    <x v="2"/>
    <x v="5"/>
    <s v="12月"/>
    <n v="0"/>
    <m/>
    <n v="0"/>
    <s v="０"/>
    <m/>
    <m/>
    <x v="1"/>
    <m/>
    <m/>
    <m/>
    <m/>
    <m/>
    <m/>
    <m/>
    <m/>
    <m/>
  </r>
  <r>
    <x v="2"/>
    <x v="5"/>
    <s v="1月"/>
    <n v="400"/>
    <n v="0"/>
    <n v="0"/>
    <n v="20"/>
    <m/>
    <m/>
    <x v="1"/>
    <m/>
    <m/>
    <m/>
    <m/>
    <m/>
    <m/>
    <m/>
    <m/>
    <m/>
  </r>
  <r>
    <x v="2"/>
    <x v="5"/>
    <s v="2月"/>
    <n v="0"/>
    <n v="0"/>
    <n v="0"/>
    <m/>
    <m/>
    <m/>
    <x v="1"/>
    <m/>
    <m/>
    <m/>
    <m/>
    <m/>
    <m/>
    <m/>
    <m/>
    <m/>
  </r>
  <r>
    <x v="2"/>
    <x v="5"/>
    <s v="3月"/>
    <n v="400"/>
    <n v="0"/>
    <n v="0"/>
    <n v="20"/>
    <m/>
    <m/>
    <x v="1"/>
    <m/>
    <m/>
    <m/>
    <m/>
    <m/>
    <m/>
    <m/>
    <m/>
    <m/>
  </r>
  <r>
    <x v="2"/>
    <x v="6"/>
    <s v="4月"/>
    <n v="0"/>
    <n v="0"/>
    <n v="0"/>
    <m/>
    <m/>
    <m/>
    <x v="0"/>
    <m/>
    <m/>
    <m/>
    <m/>
    <m/>
    <m/>
    <m/>
    <m/>
    <m/>
  </r>
  <r>
    <x v="2"/>
    <x v="6"/>
    <s v="5月"/>
    <n v="0"/>
    <n v="0"/>
    <n v="0"/>
    <m/>
    <m/>
    <m/>
    <x v="0"/>
    <m/>
    <m/>
    <m/>
    <m/>
    <m/>
    <m/>
    <m/>
    <m/>
    <m/>
  </r>
  <r>
    <x v="2"/>
    <x v="6"/>
    <s v="6月"/>
    <n v="0"/>
    <n v="0"/>
    <n v="0"/>
    <m/>
    <m/>
    <m/>
    <x v="0"/>
    <m/>
    <m/>
    <m/>
    <m/>
    <m/>
    <m/>
    <m/>
    <m/>
    <m/>
  </r>
  <r>
    <x v="2"/>
    <x v="6"/>
    <s v="7月"/>
    <n v="0"/>
    <m/>
    <n v="0"/>
    <m/>
    <m/>
    <m/>
    <x v="0"/>
    <m/>
    <m/>
    <m/>
    <m/>
    <m/>
    <m/>
    <m/>
    <m/>
    <m/>
  </r>
  <r>
    <x v="2"/>
    <x v="6"/>
    <s v="8月"/>
    <n v="0"/>
    <m/>
    <n v="0"/>
    <m/>
    <m/>
    <m/>
    <x v="0"/>
    <m/>
    <m/>
    <m/>
    <m/>
    <m/>
    <m/>
    <m/>
    <m/>
    <m/>
  </r>
  <r>
    <x v="2"/>
    <x v="6"/>
    <s v="9月"/>
    <n v="0"/>
    <m/>
    <n v="0"/>
    <m/>
    <m/>
    <m/>
    <x v="0"/>
    <m/>
    <m/>
    <m/>
    <m/>
    <m/>
    <m/>
    <m/>
    <m/>
    <m/>
  </r>
  <r>
    <x v="2"/>
    <x v="6"/>
    <s v="10月"/>
    <n v="0"/>
    <n v="0"/>
    <n v="0"/>
    <m/>
    <m/>
    <m/>
    <x v="1"/>
    <m/>
    <m/>
    <m/>
    <m/>
    <m/>
    <m/>
    <m/>
    <m/>
    <m/>
  </r>
  <r>
    <x v="2"/>
    <x v="6"/>
    <s v="11月"/>
    <n v="0"/>
    <n v="0"/>
    <n v="0"/>
    <m/>
    <m/>
    <m/>
    <x v="1"/>
    <m/>
    <m/>
    <m/>
    <m/>
    <m/>
    <m/>
    <m/>
    <m/>
    <m/>
  </r>
  <r>
    <x v="2"/>
    <x v="6"/>
    <s v="12月"/>
    <n v="0"/>
    <m/>
    <n v="0"/>
    <m/>
    <m/>
    <m/>
    <x v="1"/>
    <m/>
    <m/>
    <m/>
    <m/>
    <m/>
    <m/>
    <m/>
    <m/>
    <m/>
  </r>
  <r>
    <x v="2"/>
    <x v="6"/>
    <s v="1月"/>
    <n v="0"/>
    <m/>
    <n v="0"/>
    <m/>
    <m/>
    <m/>
    <x v="1"/>
    <m/>
    <m/>
    <m/>
    <m/>
    <m/>
    <m/>
    <m/>
    <m/>
    <m/>
  </r>
  <r>
    <x v="2"/>
    <x v="6"/>
    <s v="2月"/>
    <n v="0"/>
    <m/>
    <n v="0"/>
    <m/>
    <m/>
    <m/>
    <x v="1"/>
    <m/>
    <m/>
    <m/>
    <m/>
    <m/>
    <m/>
    <m/>
    <m/>
    <m/>
  </r>
  <r>
    <x v="2"/>
    <x v="6"/>
    <s v="3月"/>
    <n v="0"/>
    <m/>
    <n v="0"/>
    <m/>
    <m/>
    <m/>
    <x v="1"/>
    <m/>
    <m/>
    <m/>
    <m/>
    <m/>
    <m/>
    <m/>
    <m/>
    <m/>
  </r>
  <r>
    <x v="2"/>
    <x v="7"/>
    <s v="4月"/>
    <n v="0"/>
    <m/>
    <n v="0"/>
    <m/>
    <m/>
    <m/>
    <x v="0"/>
    <m/>
    <m/>
    <m/>
    <m/>
    <m/>
    <m/>
    <m/>
    <m/>
    <m/>
  </r>
  <r>
    <x v="2"/>
    <x v="7"/>
    <s v="5月"/>
    <n v="0"/>
    <n v="0"/>
    <n v="0"/>
    <m/>
    <m/>
    <m/>
    <x v="0"/>
    <m/>
    <m/>
    <m/>
    <m/>
    <m/>
    <m/>
    <m/>
    <m/>
    <m/>
  </r>
  <r>
    <x v="2"/>
    <x v="7"/>
    <s v="6月"/>
    <n v="0"/>
    <n v="0"/>
    <n v="0"/>
    <m/>
    <m/>
    <m/>
    <x v="0"/>
    <m/>
    <m/>
    <m/>
    <m/>
    <m/>
    <m/>
    <m/>
    <m/>
    <m/>
  </r>
  <r>
    <x v="2"/>
    <x v="7"/>
    <s v="7月"/>
    <n v="0"/>
    <m/>
    <n v="0"/>
    <m/>
    <m/>
    <m/>
    <x v="0"/>
    <m/>
    <m/>
    <m/>
    <m/>
    <m/>
    <m/>
    <m/>
    <m/>
    <m/>
  </r>
  <r>
    <x v="2"/>
    <x v="7"/>
    <s v="8月"/>
    <n v="0"/>
    <m/>
    <n v="0"/>
    <m/>
    <m/>
    <m/>
    <x v="0"/>
    <m/>
    <m/>
    <m/>
    <m/>
    <m/>
    <m/>
    <m/>
    <m/>
    <m/>
  </r>
  <r>
    <x v="2"/>
    <x v="7"/>
    <s v="9月"/>
    <n v="0"/>
    <m/>
    <n v="0"/>
    <m/>
    <m/>
    <m/>
    <x v="0"/>
    <m/>
    <m/>
    <m/>
    <m/>
    <m/>
    <m/>
    <m/>
    <m/>
    <m/>
  </r>
  <r>
    <x v="2"/>
    <x v="7"/>
    <s v="10月"/>
    <n v="0"/>
    <n v="0"/>
    <n v="0"/>
    <m/>
    <m/>
    <m/>
    <x v="1"/>
    <m/>
    <m/>
    <m/>
    <m/>
    <m/>
    <m/>
    <m/>
    <m/>
    <m/>
  </r>
  <r>
    <x v="2"/>
    <x v="7"/>
    <s v="11月"/>
    <n v="0"/>
    <n v="0"/>
    <n v="0"/>
    <m/>
    <m/>
    <m/>
    <x v="1"/>
    <m/>
    <m/>
    <m/>
    <m/>
    <m/>
    <m/>
    <m/>
    <m/>
    <m/>
  </r>
  <r>
    <x v="2"/>
    <x v="7"/>
    <s v="12月"/>
    <n v="0"/>
    <m/>
    <n v="0"/>
    <m/>
    <m/>
    <m/>
    <x v="1"/>
    <m/>
    <m/>
    <m/>
    <m/>
    <m/>
    <m/>
    <m/>
    <m/>
    <m/>
  </r>
  <r>
    <x v="2"/>
    <x v="7"/>
    <s v="1月"/>
    <n v="0"/>
    <m/>
    <n v="0"/>
    <m/>
    <m/>
    <m/>
    <x v="1"/>
    <m/>
    <m/>
    <m/>
    <m/>
    <m/>
    <m/>
    <m/>
    <m/>
    <m/>
  </r>
  <r>
    <x v="2"/>
    <x v="7"/>
    <s v="2月"/>
    <n v="0"/>
    <m/>
    <n v="0"/>
    <m/>
    <m/>
    <m/>
    <x v="1"/>
    <m/>
    <m/>
    <m/>
    <m/>
    <m/>
    <m/>
    <m/>
    <m/>
    <m/>
  </r>
  <r>
    <x v="2"/>
    <x v="7"/>
    <s v="3月"/>
    <n v="0"/>
    <m/>
    <n v="0"/>
    <m/>
    <m/>
    <m/>
    <x v="1"/>
    <m/>
    <m/>
    <m/>
    <m/>
    <m/>
    <m/>
    <m/>
    <m/>
    <m/>
  </r>
  <r>
    <x v="3"/>
    <x v="8"/>
    <s v="4月"/>
    <n v="5600"/>
    <n v="3650"/>
    <n v="0.6517857142857143"/>
    <n v="30"/>
    <n v="40"/>
    <n v="1.333333333333333"/>
    <x v="0"/>
    <m/>
    <m/>
    <m/>
    <m/>
    <m/>
    <m/>
    <m/>
    <m/>
    <m/>
  </r>
  <r>
    <x v="3"/>
    <x v="8"/>
    <s v="5月"/>
    <n v="5600"/>
    <n v="5135"/>
    <n v="0.9169642857142857"/>
    <n v="30"/>
    <n v="42"/>
    <n v="1.4"/>
    <x v="0"/>
    <m/>
    <m/>
    <m/>
    <m/>
    <m/>
    <m/>
    <m/>
    <m/>
    <m/>
  </r>
  <r>
    <x v="3"/>
    <x v="8"/>
    <s v="6月"/>
    <n v="5600"/>
    <n v="5435"/>
    <n v="0.9705357142857143"/>
    <n v="30"/>
    <n v="44"/>
    <n v="1.466666666666667"/>
    <x v="0"/>
    <m/>
    <m/>
    <m/>
    <m/>
    <m/>
    <m/>
    <m/>
    <m/>
    <m/>
  </r>
  <r>
    <x v="3"/>
    <x v="8"/>
    <s v="7月"/>
    <n v="5600"/>
    <n v="3185"/>
    <n v="0.56875"/>
    <n v="30"/>
    <n v="17"/>
    <n v="0.5666666666666667"/>
    <x v="0"/>
    <m/>
    <m/>
    <m/>
    <m/>
    <m/>
    <m/>
    <m/>
    <m/>
    <m/>
  </r>
  <r>
    <x v="3"/>
    <x v="8"/>
    <s v="8月"/>
    <n v="5600"/>
    <n v="3739"/>
    <n v="0.6676785714285715"/>
    <n v="30"/>
    <n v="46"/>
    <n v="1.533333333333333"/>
    <x v="0"/>
    <m/>
    <m/>
    <m/>
    <m/>
    <m/>
    <m/>
    <m/>
    <m/>
    <m/>
  </r>
  <r>
    <x v="3"/>
    <x v="8"/>
    <s v="9月"/>
    <n v="5600"/>
    <n v="3715"/>
    <n v="0.6633928571428571"/>
    <n v="30"/>
    <n v="39"/>
    <n v="1.3"/>
    <x v="0"/>
    <m/>
    <m/>
    <m/>
    <m/>
    <m/>
    <m/>
    <m/>
    <m/>
    <m/>
  </r>
  <r>
    <x v="3"/>
    <x v="8"/>
    <s v="10月"/>
    <n v="5600"/>
    <n v="3505"/>
    <n v="0.6258928571428571"/>
    <n v="30"/>
    <n v="31"/>
    <n v="1.033333333333333"/>
    <x v="1"/>
    <m/>
    <m/>
    <m/>
    <m/>
    <m/>
    <m/>
    <m/>
    <m/>
    <m/>
  </r>
  <r>
    <x v="3"/>
    <x v="8"/>
    <s v="11月"/>
    <n v="5600"/>
    <n v="4125"/>
    <n v="0.7366071428571429"/>
    <n v="30"/>
    <n v="29"/>
    <n v="0.9666666666666667"/>
    <x v="1"/>
    <m/>
    <m/>
    <m/>
    <m/>
    <m/>
    <m/>
    <m/>
    <m/>
    <m/>
  </r>
  <r>
    <x v="3"/>
    <x v="8"/>
    <s v="12月"/>
    <n v="5600"/>
    <n v="0"/>
    <n v="0"/>
    <n v="30"/>
    <m/>
    <n v="0"/>
    <x v="1"/>
    <m/>
    <m/>
    <m/>
    <m/>
    <m/>
    <m/>
    <m/>
    <m/>
    <m/>
  </r>
  <r>
    <x v="3"/>
    <x v="8"/>
    <s v="1月"/>
    <n v="5600"/>
    <n v="0"/>
    <n v="0"/>
    <n v="30"/>
    <m/>
    <n v="0"/>
    <x v="1"/>
    <m/>
    <m/>
    <m/>
    <m/>
    <m/>
    <m/>
    <m/>
    <m/>
    <m/>
  </r>
  <r>
    <x v="3"/>
    <x v="8"/>
    <s v="2月"/>
    <n v="5600"/>
    <n v="0"/>
    <n v="0"/>
    <n v="30"/>
    <m/>
    <n v="0"/>
    <x v="1"/>
    <m/>
    <m/>
    <m/>
    <m/>
    <m/>
    <m/>
    <m/>
    <m/>
    <m/>
  </r>
  <r>
    <x v="3"/>
    <x v="8"/>
    <s v="3月"/>
    <n v="5600"/>
    <n v="0"/>
    <n v="0"/>
    <n v="30"/>
    <m/>
    <n v="0"/>
    <x v="1"/>
    <m/>
    <m/>
    <m/>
    <m/>
    <m/>
    <m/>
    <m/>
    <m/>
    <m/>
  </r>
  <r>
    <x v="3"/>
    <x v="9"/>
    <s v="総計"/>
    <n v="33600"/>
    <n v="24859"/>
    <n v="0.7398511904761905"/>
    <n v="180"/>
    <n v="228"/>
    <n v="1.266666666666667"/>
    <x v="0"/>
    <m/>
    <m/>
    <m/>
    <m/>
    <m/>
    <m/>
    <m/>
    <m/>
    <m/>
  </r>
  <r>
    <x v="3"/>
    <x v="10"/>
    <s v="総計"/>
    <n v="33600"/>
    <n v="7630"/>
    <n v="0.2270833333333333"/>
    <n v="180"/>
    <n v="60"/>
    <n v="0.3333333333333333"/>
    <x v="1"/>
    <m/>
    <m/>
    <m/>
    <m/>
    <m/>
    <m/>
    <m/>
    <m/>
    <m/>
  </r>
  <r>
    <x v="3"/>
    <x v="11"/>
    <s v="総計"/>
    <n v="67200"/>
    <n v="32489"/>
    <n v="0.4834672619047619"/>
    <n v="360"/>
    <n v="288"/>
    <n v="0.8"/>
    <x v="2"/>
    <m/>
    <m/>
    <m/>
    <m/>
    <m/>
    <m/>
    <m/>
    <m/>
    <m/>
  </r>
  <r>
    <x v="4"/>
    <x v="12"/>
    <m/>
    <m/>
    <m/>
    <m/>
    <m/>
    <m/>
    <m/>
    <x v="3"/>
    <m/>
    <m/>
    <m/>
    <m/>
    <m/>
    <m/>
    <m/>
    <m/>
    <m/>
  </r>
  <r>
    <x v="4"/>
    <x v="12"/>
    <m/>
    <m/>
    <m/>
    <m/>
    <m/>
    <m/>
    <m/>
    <x v="3"/>
    <m/>
    <m/>
    <m/>
    <m/>
    <m/>
    <m/>
    <m/>
    <m/>
    <m/>
  </r>
  <r>
    <x v="4"/>
    <x v="12"/>
    <m/>
    <m/>
    <m/>
    <m/>
    <m/>
    <m/>
    <m/>
    <x v="3"/>
    <m/>
    <m/>
    <m/>
    <m/>
    <m/>
    <m/>
    <m/>
    <m/>
    <m/>
  </r>
  <r>
    <x v="4"/>
    <x v="12"/>
    <m/>
    <m/>
    <m/>
    <m/>
    <m/>
    <m/>
    <m/>
    <x v="3"/>
    <m/>
    <m/>
    <m/>
    <m/>
    <m/>
    <m/>
    <m/>
    <m/>
    <m/>
  </r>
  <r>
    <x v="4"/>
    <x v="12"/>
    <m/>
    <m/>
    <m/>
    <m/>
    <m/>
    <m/>
    <m/>
    <x v="3"/>
    <m/>
    <m/>
    <m/>
    <m/>
    <m/>
    <m/>
    <m/>
    <m/>
    <m/>
  </r>
  <r>
    <x v="4"/>
    <x v="12"/>
    <m/>
    <m/>
    <m/>
    <m/>
    <m/>
    <m/>
    <m/>
    <x v="3"/>
    <m/>
    <m/>
    <m/>
    <m/>
    <m/>
    <m/>
    <m/>
    <m/>
    <m/>
  </r>
  <r>
    <x v="4"/>
    <x v="12"/>
    <m/>
    <m/>
    <m/>
    <m/>
    <m/>
    <m/>
    <m/>
    <x v="3"/>
    <m/>
    <m/>
    <m/>
    <m/>
    <m/>
    <m/>
    <m/>
    <m/>
    <m/>
  </r>
  <r>
    <x v="4"/>
    <x v="12"/>
    <m/>
    <m/>
    <m/>
    <m/>
    <m/>
    <m/>
    <m/>
    <x v="3"/>
    <m/>
    <m/>
    <m/>
    <m/>
    <m/>
    <m/>
    <m/>
    <m/>
    <m/>
  </r>
  <r>
    <x v="4"/>
    <x v="12"/>
    <m/>
    <m/>
    <m/>
    <m/>
    <m/>
    <m/>
    <m/>
    <x v="3"/>
    <m/>
    <m/>
    <m/>
    <m/>
    <m/>
    <m/>
    <m/>
    <m/>
    <m/>
  </r>
  <r>
    <x v="4"/>
    <x v="12"/>
    <m/>
    <m/>
    <m/>
    <m/>
    <m/>
    <m/>
    <m/>
    <x v="3"/>
    <m/>
    <m/>
    <m/>
    <m/>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5.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6.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Table5" cacheId="1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3:G170" firstHeaderRow="0" firstDataRow="1" firstDataCol="1" rowPageCount="1" colPageCount="1"/>
  <pivotFields count="21">
    <pivotField axis="axisRow" showDropDowns="1" compact="1" outline="1" subtotalTop="1" dragToRow="1" dragToCol="1" dragToPage="1" dragToData="1" dragOff="1" showAll="0" topAutoShow="1" itemPageCount="10" sortType="manual" defaultSubtotal="1">
      <items count="5">
        <item t="data" sd="1" x="0"/>
        <item t="data" sd="1" x="1"/>
        <item t="data" sd="1" x="3"/>
        <item t="data" sd="1" x="2"/>
        <item t="default" sd="1"/>
      </items>
    </pivotField>
    <pivotField axis="axisRow" showDropDowns="1" compact="1" outline="1" subtotalTop="1" dragToRow="1" dragToCol="1" dragToPage="1" dragToData="1" dragOff="1" showAll="0" topAutoShow="1" itemPageCount="10" sortType="manual" defaultSubtotal="1">
      <items count="13">
        <item t="data" sd="1" x="2"/>
        <item t="data" sd="1" x="5"/>
        <item t="data" sd="1" x="9"/>
        <item t="data" sd="1" x="10"/>
        <item t="data" sd="1" x="6"/>
        <item t="data" sd="1" x="7"/>
        <item t="data" sd="1" x="11"/>
        <item t="data" sd="1" x="0"/>
        <item t="data" sd="1" x="3"/>
        <item t="data" sd="1" x="4"/>
        <item t="data" sd="1" x="1"/>
        <item t="data" sd="1" x="8"/>
        <item t="default" sd="1"/>
      </items>
    </pivotField>
    <pivotField axis="axisRow" showDropDowns="1" compact="1" outline="1" subtotalTop="1" dragToRow="1" dragToCol="1" dragToPage="1" dragToData="1" dragOff="1" showAll="0" topAutoShow="1" itemPageCount="10" sortType="manual" defaultSubtotal="1">
      <items count="14">
        <item t="data" sd="1" x="6"/>
        <item t="data" sd="1" x="7"/>
        <item t="data" sd="1" x="8"/>
        <item t="data" sd="1" x="9"/>
        <item t="data" sd="1" x="10"/>
        <item t="data" sd="1" x="11"/>
        <item t="data" sd="1" x="0"/>
        <item t="data" sd="1" x="1"/>
        <item t="data" sd="1" x="2"/>
        <item t="data" sd="1" x="3"/>
        <item t="data" sd="1" x="4"/>
        <item t="data" sd="1" x="5"/>
        <item t="data" sd="1" x="12"/>
        <item t="default" sd="1"/>
      </items>
    </pivotField>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axis="axisPage" showDropDowns="1" compact="1" outline="1" subtotalTop="1" dragToRow="1" dragToCol="1" dragToPage="1" dragToData="1" dragOff="1" showAll="0" topAutoShow="1" itemPageCount="10" sortType="manual" defaultSubtotal="1">
      <items count="4">
        <item t="data" sd="1" x="0"/>
        <item t="data" sd="1" x="1"/>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0" dragToCol="0" dragToPage="0" dragToData="1" dragOff="1" showAll="0" topAutoShow="1" itemPageCount="10" sortType="manual" defaultSubtotal="0"/>
    <pivotField showDropDowns="1" compact="1" outline="1" subtotalTop="1" dragToRow="0" dragToCol="0" dragToPage="0" dragToData="1" dragOff="1" showAll="0" topAutoShow="1" itemPageCount="10" sortType="manual" defaultSubtotal="0"/>
  </pivotFields>
  <rowFields count="3">
    <field x="0"/>
    <field x="1"/>
    <field x="2"/>
  </rowFields>
  <rowItems count="167">
    <i t="data" r="0" i="0">
      <x v="0"/>
    </i>
    <i t="data" r="1" i="0">
      <x v="0"/>
    </i>
    <i t="data" r="2" i="0">
      <x v="0"/>
    </i>
    <i t="data" r="2" i="0">
      <x v="1"/>
    </i>
    <i t="data" r="2" i="0">
      <x v="2"/>
    </i>
    <i t="data" r="2" i="0">
      <x v="3"/>
    </i>
    <i t="data" r="2" i="0">
      <x v="4"/>
    </i>
    <i t="data" r="2" i="0">
      <x v="5"/>
    </i>
    <i t="data" r="2" i="0">
      <x v="6"/>
    </i>
    <i t="data" r="2" i="0">
      <x v="7"/>
    </i>
    <i t="data" r="2" i="0">
      <x v="8"/>
    </i>
    <i t="data" r="2" i="0">
      <x v="9"/>
    </i>
    <i t="data" r="2" i="0">
      <x v="10"/>
    </i>
    <i t="data" r="2" i="0">
      <x v="11"/>
    </i>
    <i t="data" r="1" i="0">
      <x v="7"/>
    </i>
    <i t="data" r="2" i="0">
      <x v="0"/>
    </i>
    <i t="data" r="2" i="0">
      <x v="1"/>
    </i>
    <i t="data" r="2" i="0">
      <x v="2"/>
    </i>
    <i t="data" r="2" i="0">
      <x v="3"/>
    </i>
    <i t="data" r="2" i="0">
      <x v="4"/>
    </i>
    <i t="data" r="2" i="0">
      <x v="5"/>
    </i>
    <i t="data" r="2" i="0">
      <x v="6"/>
    </i>
    <i t="data" r="2" i="0">
      <x v="7"/>
    </i>
    <i t="data" r="2" i="0">
      <x v="8"/>
    </i>
    <i t="data" r="2" i="0">
      <x v="9"/>
    </i>
    <i t="data" r="2" i="0">
      <x v="10"/>
    </i>
    <i t="data" r="2" i="0">
      <x v="11"/>
    </i>
    <i t="data" r="1" i="0">
      <x v="8"/>
    </i>
    <i t="data" r="2" i="0">
      <x v="0"/>
    </i>
    <i t="data" r="2" i="0">
      <x v="1"/>
    </i>
    <i t="data" r="2" i="0">
      <x v="2"/>
    </i>
    <i t="data" r="2" i="0">
      <x v="3"/>
    </i>
    <i t="data" r="2" i="0">
      <x v="4"/>
    </i>
    <i t="data" r="2" i="0">
      <x v="5"/>
    </i>
    <i t="data" r="2" i="0">
      <x v="6"/>
    </i>
    <i t="data" r="2" i="0">
      <x v="7"/>
    </i>
    <i t="data" r="2" i="0">
      <x v="8"/>
    </i>
    <i t="data" r="2" i="0">
      <x v="9"/>
    </i>
    <i t="data" r="2" i="0">
      <x v="10"/>
    </i>
    <i t="data" r="2" i="0">
      <x v="11"/>
    </i>
    <i t="data" r="1" i="0">
      <x v="10"/>
    </i>
    <i t="data" r="2" i="0">
      <x v="0"/>
    </i>
    <i t="data" r="2" i="0">
      <x v="1"/>
    </i>
    <i t="data" r="2" i="0">
      <x v="2"/>
    </i>
    <i t="data" r="2" i="0">
      <x v="3"/>
    </i>
    <i t="data" r="2" i="0">
      <x v="4"/>
    </i>
    <i t="data" r="2" i="0">
      <x v="5"/>
    </i>
    <i t="data" r="2" i="0">
      <x v="6"/>
    </i>
    <i t="data" r="2" i="0">
      <x v="7"/>
    </i>
    <i t="data" r="2" i="0">
      <x v="8"/>
    </i>
    <i t="data" r="2" i="0">
      <x v="9"/>
    </i>
    <i t="data" r="2" i="0">
      <x v="10"/>
    </i>
    <i t="data" r="2" i="0">
      <x v="11"/>
    </i>
    <i t="data" r="0" i="0">
      <x v="1"/>
    </i>
    <i t="data" r="1" i="0">
      <x v="0"/>
    </i>
    <i t="data" r="2" i="0">
      <x v="0"/>
    </i>
    <i t="data" r="2" i="0">
      <x v="1"/>
    </i>
    <i t="data" r="2" i="0">
      <x v="2"/>
    </i>
    <i t="data" r="2" i="0">
      <x v="3"/>
    </i>
    <i t="data" r="2" i="0">
      <x v="4"/>
    </i>
    <i t="data" r="2" i="0">
      <x v="5"/>
    </i>
    <i t="data" r="2" i="0">
      <x v="6"/>
    </i>
    <i t="data" r="2" i="0">
      <x v="7"/>
    </i>
    <i t="data" r="2" i="0">
      <x v="8"/>
    </i>
    <i t="data" r="2" i="0">
      <x v="9"/>
    </i>
    <i t="data" r="2" i="0">
      <x v="10"/>
    </i>
    <i t="data" r="2" i="0">
      <x v="11"/>
    </i>
    <i t="data" r="1" i="0">
      <x v="7"/>
    </i>
    <i t="data" r="2" i="0">
      <x v="0"/>
    </i>
    <i t="data" r="2" i="0">
      <x v="1"/>
    </i>
    <i t="data" r="2" i="0">
      <x v="2"/>
    </i>
    <i t="data" r="2" i="0">
      <x v="3"/>
    </i>
    <i t="data" r="2" i="0">
      <x v="4"/>
    </i>
    <i t="data" r="2" i="0">
      <x v="5"/>
    </i>
    <i t="data" r="2" i="0">
      <x v="6"/>
    </i>
    <i t="data" r="2" i="0">
      <x v="7"/>
    </i>
    <i t="data" r="2" i="0">
      <x v="8"/>
    </i>
    <i t="data" r="2" i="0">
      <x v="9"/>
    </i>
    <i t="data" r="2" i="0">
      <x v="10"/>
    </i>
    <i t="data" r="2" i="0">
      <x v="11"/>
    </i>
    <i t="data" r="1" i="0">
      <x v="9"/>
    </i>
    <i t="data" r="2" i="0">
      <x v="0"/>
    </i>
    <i t="data" r="2" i="0">
      <x v="1"/>
    </i>
    <i t="data" r="2" i="0">
      <x v="2"/>
    </i>
    <i t="data" r="2" i="0">
      <x v="3"/>
    </i>
    <i t="data" r="2" i="0">
      <x v="4"/>
    </i>
    <i t="data" r="2" i="0">
      <x v="5"/>
    </i>
    <i t="data" r="2" i="0">
      <x v="6"/>
    </i>
    <i t="data" r="2" i="0">
      <x v="7"/>
    </i>
    <i t="data" r="2" i="0">
      <x v="8"/>
    </i>
    <i t="data" r="2" i="0">
      <x v="9"/>
    </i>
    <i t="data" r="2" i="0">
      <x v="10"/>
    </i>
    <i t="data" r="2" i="0">
      <x v="11"/>
    </i>
    <i t="data" r="1" i="0">
      <x v="10"/>
    </i>
    <i t="data" r="2" i="0">
      <x v="0"/>
    </i>
    <i t="data" r="2" i="0">
      <x v="1"/>
    </i>
    <i t="data" r="2" i="0">
      <x v="2"/>
    </i>
    <i t="data" r="2" i="0">
      <x v="3"/>
    </i>
    <i t="data" r="2" i="0">
      <x v="4"/>
    </i>
    <i t="data" r="2" i="0">
      <x v="5"/>
    </i>
    <i t="data" r="2" i="0">
      <x v="6"/>
    </i>
    <i t="data" r="2" i="0">
      <x v="7"/>
    </i>
    <i t="data" r="2" i="0">
      <x v="8"/>
    </i>
    <i t="data" r="2" i="0">
      <x v="9"/>
    </i>
    <i t="data" r="2" i="0">
      <x v="10"/>
    </i>
    <i t="data" r="2" i="0">
      <x v="11"/>
    </i>
    <i t="data" r="0" i="0">
      <x v="2"/>
    </i>
    <i t="data" r="1" i="0">
      <x v="2"/>
    </i>
    <i t="data" r="2" i="0">
      <x v="12"/>
    </i>
    <i t="data" r="1" i="0">
      <x v="3"/>
    </i>
    <i t="data" r="2" i="0">
      <x v="12"/>
    </i>
    <i t="data" r="1" i="0">
      <x v="6"/>
    </i>
    <i t="data" r="2" i="0">
      <x v="12"/>
    </i>
    <i t="data" r="1" i="0">
      <x v="11"/>
    </i>
    <i t="data" r="2" i="0">
      <x v="0"/>
    </i>
    <i t="data" r="2" i="0">
      <x v="1"/>
    </i>
    <i t="data" r="2" i="0">
      <x v="2"/>
    </i>
    <i t="data" r="2" i="0">
      <x v="3"/>
    </i>
    <i t="data" r="2" i="0">
      <x v="4"/>
    </i>
    <i t="data" r="2" i="0">
      <x v="5"/>
    </i>
    <i t="data" r="2" i="0">
      <x v="6"/>
    </i>
    <i t="data" r="2" i="0">
      <x v="7"/>
    </i>
    <i t="data" r="2" i="0">
      <x v="8"/>
    </i>
    <i t="data" r="2" i="0">
      <x v="9"/>
    </i>
    <i t="data" r="2" i="0">
      <x v="10"/>
    </i>
    <i t="data" r="2" i="0">
      <x v="11"/>
    </i>
    <i t="data" r="0" i="0">
      <x v="3"/>
    </i>
    <i t="data" r="1" i="0">
      <x v="1"/>
    </i>
    <i t="data" r="2" i="0">
      <x v="0"/>
    </i>
    <i t="data" r="2" i="0">
      <x v="1"/>
    </i>
    <i t="data" r="2" i="0">
      <x v="2"/>
    </i>
    <i t="data" r="2" i="0">
      <x v="3"/>
    </i>
    <i t="data" r="2" i="0">
      <x v="4"/>
    </i>
    <i t="data" r="2" i="0">
      <x v="5"/>
    </i>
    <i t="data" r="2" i="0">
      <x v="6"/>
    </i>
    <i t="data" r="2" i="0">
      <x v="7"/>
    </i>
    <i t="data" r="2" i="0">
      <x v="8"/>
    </i>
    <i t="data" r="2" i="0">
      <x v="9"/>
    </i>
    <i t="data" r="2" i="0">
      <x v="10"/>
    </i>
    <i t="data" r="2" i="0">
      <x v="11"/>
    </i>
    <i t="data" r="1" i="0">
      <x v="4"/>
    </i>
    <i t="data" r="2" i="0">
      <x v="0"/>
    </i>
    <i t="data" r="2" i="0">
      <x v="1"/>
    </i>
    <i t="data" r="2" i="0">
      <x v="2"/>
    </i>
    <i t="data" r="2" i="0">
      <x v="3"/>
    </i>
    <i t="data" r="2" i="0">
      <x v="4"/>
    </i>
    <i t="data" r="2" i="0">
      <x v="5"/>
    </i>
    <i t="data" r="2" i="0">
      <x v="6"/>
    </i>
    <i t="data" r="2" i="0">
      <x v="7"/>
    </i>
    <i t="data" r="2" i="0">
      <x v="8"/>
    </i>
    <i t="data" r="2" i="0">
      <x v="9"/>
    </i>
    <i t="data" r="2" i="0">
      <x v="10"/>
    </i>
    <i t="data" r="2" i="0">
      <x v="11"/>
    </i>
    <i t="data" r="1" i="0">
      <x v="5"/>
    </i>
    <i t="data" r="2" i="0">
      <x v="0"/>
    </i>
    <i t="data" r="2" i="0">
      <x v="1"/>
    </i>
    <i t="data" r="2" i="0">
      <x v="2"/>
    </i>
    <i t="data" r="2" i="0">
      <x v="3"/>
    </i>
    <i t="data" r="2" i="0">
      <x v="4"/>
    </i>
    <i t="data" r="2" i="0">
      <x v="5"/>
    </i>
    <i t="data" r="2" i="0">
      <x v="6"/>
    </i>
    <i t="data" r="2" i="0">
      <x v="7"/>
    </i>
    <i t="data" r="2" i="0">
      <x v="8"/>
    </i>
    <i t="data" r="2" i="0">
      <x v="9"/>
    </i>
    <i t="data" r="2" i="0">
      <x v="10"/>
    </i>
    <i t="data" r="2" i="0">
      <x v="11"/>
    </i>
    <i t="grand" r="0" i="0">
      <x v="0"/>
    </i>
  </rowItems>
  <colFields count="1">
    <field x="-2"/>
  </colFields>
  <colItems count="6">
    <i t="data" r="0" i="0">
      <x v="0"/>
    </i>
    <i t="data" r="0" i="1">
      <x v="1"/>
    </i>
    <i t="data" r="0" i="2">
      <x v="2"/>
    </i>
    <i t="data" r="0" i="3">
      <x v="3"/>
    </i>
    <i t="data" r="0" i="4">
      <x v="4"/>
    </i>
    <i t="data" r="0" i="5">
      <x v="5"/>
    </i>
  </colItems>
  <pageFields count="1">
    <pageField fld="9" hier="-1"/>
  </pageFields>
  <dataFields count="6">
    <dataField name="Sum of 目標" fld="3" subtotal="sum" showDataAs="normal" baseField="0" baseItem="0"/>
    <dataField name="Sum of 実績" fld="4" subtotal="sum" showDataAs="normal" baseField="0" baseItem="0"/>
    <dataField name="Sum of 達成率" fld="5" subtotal="sum" showDataAs="normal" baseField="0" baseItem="0"/>
    <dataField name="Count of 人数実績" fld="7" subtotal="count" showDataAs="normal" baseField="0" baseItem="0"/>
    <dataField name="Count of 人数目標" fld="6" subtotal="count" showDataAs="normal" baseField="0" baseItem="0"/>
    <dataField name="Sum of 人数達成率" fld="8" subtotal="sum" showDataAs="normal" baseField="0" baseItem="0"/>
  </data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7" cacheId="1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9" fieldListSortAscending="0" mdxSubqueries="0" applyNumberFormats="0" applyBorderFormats="0" applyFontFormats="0" applyPatternFormats="0" applyAlignmentFormats="0" applyWidthHeightFormats="1" r:id="rId1">
  <location ref="A11:B25" firstHeaderRow="1" firstDataRow="1" firstDataCol="1"/>
  <pivotFields count="21">
    <pivotField showDropDowns="1" compact="1" outline="1" subtotalTop="1" dragToRow="1" dragToCol="1" dragToPage="1" dragToData="1" dragOff="1" showAll="0" topAutoShow="1" itemPageCount="10" sortType="manual" defaultSubtotal="1">
      <items count="5">
        <item t="data" sd="1" x="0"/>
        <item t="data" sd="1" x="1"/>
        <item t="data" sd="1" x="3"/>
        <item t="data" sd="1" x="2"/>
        <item t="default" sd="1"/>
      </items>
    </pivotField>
    <pivotField showDropDowns="1" compact="1" outline="1" subtotalTop="1" dragToRow="1" dragToCol="1" dragToPage="1" dragToData="1" dragOff="1" showAll="0" topAutoShow="1" itemPageCount="10" sortType="manual" defaultSubtotal="1">
      <items count="13">
        <item t="data" sd="1" x="2"/>
        <item t="data" sd="1" x="5"/>
        <item t="data" sd="1" x="9"/>
        <item t="data" sd="1" x="10"/>
        <item t="data" sd="1" x="6"/>
        <item t="data" sd="1" x="7"/>
        <item t="data" sd="1" x="11"/>
        <item t="data" sd="1" x="0"/>
        <item t="data" sd="1" x="3"/>
        <item t="data" sd="1" x="4"/>
        <item t="data" sd="1" x="1"/>
        <item t="data" sd="1" x="8"/>
        <item t="default" sd="1"/>
      </items>
    </pivotField>
    <pivotField axis="axisRow" showDropDowns="1" compact="1" outline="1" subtotalTop="1" dragToRow="1" dragToCol="1" dragToPage="1" dragToData="1" dragOff="1" showAll="0" topAutoShow="1" itemPageCount="10" sortType="manual" defaultSubtotal="1">
      <items count="14">
        <item t="data" sd="1" x="6"/>
        <item t="data" sd="1" x="7"/>
        <item t="data" sd="1" x="8"/>
        <item t="data" sd="1" x="9"/>
        <item t="data" sd="1" x="10"/>
        <item t="data" sd="1" x="11"/>
        <item t="data" sd="1" x="0"/>
        <item t="data" sd="1" x="1"/>
        <item t="data" sd="1" x="2"/>
        <item t="data" sd="1" x="3"/>
        <item t="data" sd="1" x="4"/>
        <item t="data" sd="1" x="5"/>
        <item t="data" sd="1" x="12"/>
        <item t="default" sd="1"/>
      </items>
    </pivotField>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items count="54">
        <item t="data" sd="1" x="0"/>
        <item t="data" sd="1" x="28"/>
        <item t="data" sd="1" x="27"/>
        <item t="data" sd="1" x="31"/>
        <item t="data" sd="1" x="36"/>
        <item t="data" sd="1" x="30"/>
        <item t="data" sd="1" x="39"/>
        <item t="data" sd="1" x="32"/>
        <item t="data" sd="1" x="34"/>
        <item t="data" sd="1" x="40"/>
        <item t="data" sd="1" x="37"/>
        <item t="data" sd="1" x="33"/>
        <item t="data" sd="1" x="35"/>
        <item t="data" sd="1" x="29"/>
        <item t="data" sd="1" x="38"/>
        <item t="data" sd="1" x="26"/>
        <item t="data" sd="1" x="12"/>
        <item t="data" sd="1" x="15"/>
        <item t="data" sd="1" x="25"/>
        <item t="data" sd="1" x="10"/>
        <item t="data" sd="1" x="1"/>
        <item t="data" sd="1" x="24"/>
        <item t="data" sd="1" x="41"/>
        <item t="data" sd="1" x="11"/>
        <item t="data" sd="1" x="5"/>
        <item t="data" sd="1" x="14"/>
        <item t="data" sd="1" x="9"/>
        <item t="data" sd="1" x="2"/>
        <item t="data" sd="1" x="13"/>
        <item t="data" sd="1" x="4"/>
        <item t="data" sd="1" x="6"/>
        <item t="data" sd="1" x="7"/>
        <item t="data" sd="1" x="16"/>
        <item t="data" sd="1" x="17"/>
        <item t="data" sd="1" x="18"/>
        <item t="data" sd="1" x="19"/>
        <item t="data" sd="1" x="20"/>
        <item t="data" sd="1" x="21"/>
        <item t="data" sd="1" x="22"/>
        <item t="data" sd="1" x="23"/>
        <item t="data" sd="1" x="3"/>
        <item t="data" sd="1" x="45"/>
        <item t="data" sd="1" x="48"/>
        <item t="data" sd="1" x="42"/>
        <item t="data" sd="1" x="47"/>
        <item t="data" sd="1" x="46"/>
        <item t="data" sd="1" x="49"/>
        <item t="data" sd="1" x="43"/>
        <item t="data" sd="1" x="44"/>
        <item t="data" sd="1" x="51"/>
        <item t="data" sd="1" x="50"/>
        <item t="data" sd="1" x="52"/>
        <item t="data" sd="1" x="8"/>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0" dragToCol="0" dragToPage="0" dragToData="1" dragOff="1" showAll="0" topAutoShow="1" itemPageCount="10" sortType="manual" defaultSubtotal="0"/>
    <pivotField showDropDowns="1" compact="1" outline="1" subtotalTop="1" dragToRow="0" dragToCol="0" dragToPage="0" dragToData="1" dragOff="1" showAll="0" topAutoShow="1" itemPageCount="10" sortType="manual" defaultSubtotal="0"/>
  </pivotFields>
  <rowFields count="1">
    <field x="2"/>
  </rowFields>
  <rowItems count="14">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grand" r="0" i="0">
      <x v="0"/>
    </i>
  </rowItems>
  <colItems count="1">
    <i t="data" r="0" i="0"/>
  </colItems>
  <dataFields count="1">
    <dataField name="Sum of 実績" fld="4" subtotal="sum" showDataAs="normal" baseField="0" baseItem="0"/>
  </dataFields>
  <chartFormats count="1">
    <chartFormat chart="3" format="2" series="1">
      <pivotArea type="data" dataOnly="1" outline="0" fieldPosition="0">
        <references count="1">
          <reference field="4294967294" selected="0">
            <x v="0"/>
          </reference>
        </references>
      </pivotArea>
    </chartFormat>
  </chart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PivotTable8" cacheId="1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8" fieldListSortAscending="0" mdxSubqueries="0" applyNumberFormats="0" applyBorderFormats="0" applyFontFormats="0" applyPatternFormats="0" applyAlignmentFormats="0" applyWidthHeightFormats="1" r:id="rId1">
  <location ref="A27:D32" firstHeaderRow="0" firstDataRow="1" firstDataCol="1"/>
  <pivotFields count="21">
    <pivotField axis="axisRow" showDropDowns="1" compact="1" outline="1" subtotalTop="1" dragToRow="1" dragToCol="1" dragToPage="1" dragToData="1" dragOff="1" showAll="0" topAutoShow="1" itemPageCount="10" sortType="manual" defaultSubtotal="1">
      <items count="5">
        <item t="data" sd="1" x="0"/>
        <item t="data" sd="1" x="1"/>
        <item t="data" sd="1" x="3"/>
        <item t="data" sd="1" x="2"/>
        <item t="default" sd="1"/>
      </items>
    </pivotField>
    <pivotField showDropDowns="1" compact="1" outline="1" subtotalTop="1" dragToRow="1" dragToCol="1" dragToPage="1" dragToData="1" dragOff="1" showAll="0" topAutoShow="1" itemPageCount="10" sortType="manual" defaultSubtotal="1">
      <items count="13">
        <item t="data" sd="1" x="2"/>
        <item t="data" sd="1" x="5"/>
        <item t="data" sd="1" x="9"/>
        <item t="data" sd="1" x="10"/>
        <item t="data" sd="1" x="6"/>
        <item t="data" sd="1" x="7"/>
        <item t="data" sd="1" x="11"/>
        <item t="data" sd="1" x="0"/>
        <item t="data" sd="1" x="3"/>
        <item t="data" sd="1" x="4"/>
        <item t="data" sd="1" x="1"/>
        <item t="data" sd="1" x="8"/>
        <item t="default" sd="1"/>
      </items>
    </pivotField>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0" dragToCol="0" dragToPage="0" dragToData="1" dragOff="1" showAll="0" topAutoShow="1" itemPageCount="10" sortType="manual" defaultSubtotal="0"/>
    <pivotField showDropDowns="1" compact="1" outline="1" subtotalTop="1" dragToRow="0" dragToCol="0" dragToPage="0" dragToData="1" dragOff="1" showAll="0" topAutoShow="1" itemPageCount="10" sortType="manual" defaultSubtotal="0"/>
  </pivotFields>
  <rowFields count="1">
    <field x="0"/>
  </rowFields>
  <rowItems count="5">
    <i t="data" r="0" i="0">
      <x v="0"/>
    </i>
    <i t="data" r="0" i="0">
      <x v="1"/>
    </i>
    <i t="data" r="0" i="0">
      <x v="2"/>
    </i>
    <i t="data" r="0" i="0">
      <x v="3"/>
    </i>
    <i t="grand" r="0" i="0">
      <x v="0"/>
    </i>
  </rowItems>
  <colFields count="1">
    <field x="-2"/>
  </colFields>
  <colItems count="3">
    <i t="data" r="0" i="0">
      <x v="0"/>
    </i>
    <i t="data" r="0" i="1">
      <x v="1"/>
    </i>
    <i t="data" r="0" i="2">
      <x v="2"/>
    </i>
  </colItems>
  <dataFields count="3">
    <dataField name="Sum of 目標" fld="3" subtotal="sum" showDataAs="normal" baseField="0" baseItem="0"/>
    <dataField name="Sum of 実績" fld="4" subtotal="sum" showDataAs="normal" baseField="0" baseItem="0"/>
    <dataField name="Sum of 達成率" fld="5" subtotal="sum" showDataAs="normal" baseField="0" baseItem="0"/>
  </dataFields>
  <chartFormats count="3">
    <chartFormat chart="3" format="6" series="1">
      <pivotArea type="data" dataOnly="1" outline="0" fieldPosition="0">
        <references count="1">
          <reference field="4294967294" selected="0">
            <x v="0"/>
          </reference>
        </references>
      </pivotArea>
    </chartFormat>
    <chartFormat chart="3" format="7" series="1">
      <pivotArea type="data" dataOnly="1" outline="0" fieldPosition="0">
        <references count="1">
          <reference field="4294967294" selected="0">
            <x v="1"/>
          </reference>
        </references>
      </pivotArea>
    </chartFormat>
    <chartFormat chart="3" format="8" series="1">
      <pivotArea type="data" dataOnly="1" outline="0" fieldPosition="0">
        <references count="1">
          <reference field="4294967294" selected="0">
            <x v="2"/>
          </reference>
        </references>
      </pivotArea>
    </chartFormat>
  </chartFormat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PivotTable3" cacheId="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14" fieldListSortAscending="0" mdxSubqueries="0" applyNumberFormats="0" applyBorderFormats="0" applyFontFormats="0" applyPatternFormats="0" applyAlignmentFormats="0" applyWidthHeightFormats="1" r:id="rId1">
  <location ref="A153:C156" firstHeaderRow="0" firstDataRow="1" firstDataCol="1" rowPageCount="2" colPageCount="1"/>
  <pivotFields count="19">
    <pivotField axis="axisPage" showDropDowns="1" compact="1" outline="1" subtotalTop="1" dragToRow="1" dragToCol="1" dragToPage="1" dragToData="1" dragOff="1" showAll="0" topAutoShow="1" itemPageCount="10" sortType="manual" defaultSubtotal="1">
      <items count="6">
        <item t="data" sd="1" x="0"/>
        <item t="data" sd="1" x="1"/>
        <item t="data" sd="1" x="3"/>
        <item t="data" sd="1" x="2"/>
        <item t="data" sd="1" x="4"/>
        <item t="default" sd="1"/>
      </items>
    </pivotField>
    <pivotField axis="axisPage" showDropDowns="1" compact="1" outline="1" subtotalTop="1" dragToRow="1" dragToCol="1" dragToPage="1" dragToData="1" dragOff="1" showAll="0" topAutoShow="1" itemPageCount="10" sortType="manual" defaultSubtotal="1">
      <items count="14">
        <item t="data" sd="1" x="2"/>
        <item t="data" sd="1" x="5"/>
        <item t="data" sd="1" x="9"/>
        <item t="data" sd="1" x="10"/>
        <item t="data" sd="1" x="6"/>
        <item t="data" sd="1" x="7"/>
        <item t="data" sd="1" x="11"/>
        <item t="data" sd="1" x="0"/>
        <item t="data" sd="1" x="3"/>
        <item t="data" sd="1" x="4"/>
        <item t="data" sd="1" x="1"/>
        <item t="data" sd="1" x="8"/>
        <item t="data" sd="1" x="1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5">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9"/>
  </rowFields>
  <rowItems count="3">
    <i t="data" r="0" i="0">
      <x v="0"/>
    </i>
    <i t="data" r="0" i="0">
      <x v="1"/>
    </i>
    <i t="grand" r="0" i="0">
      <x v="0"/>
    </i>
  </rowItems>
  <colFields count="1">
    <field x="-2"/>
  </colFields>
  <colItems count="2">
    <i t="data" r="0" i="0">
      <x v="0"/>
    </i>
    <i t="data" r="0" i="1">
      <x v="1"/>
    </i>
  </colItems>
  <pageFields count="2">
    <pageField fld="0" item="0" hier="-1"/>
    <pageField fld="1" item="8" hier="-1"/>
  </pageFields>
  <dataFields count="2">
    <dataField name="Sum of 人数目標" fld="6" subtotal="sum" showDataAs="normal" baseField="9" baseItem="0"/>
    <dataField name="Sum of 人数実績" fld="7" subtotal="sum" showDataAs="normal" baseField="9" baseItem="0"/>
  </dataFields>
  <chartFormats count="12">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 chart="3" format="4" series="1">
      <pivotArea type="data" dataOnly="1" outline="0" fieldPosition="0">
        <references count="1">
          <reference field="4294967294" selected="0">
            <x v="0"/>
          </reference>
        </references>
      </pivotArea>
    </chartFormat>
    <chartFormat chart="3" format="5" series="1">
      <pivotArea type="data" dataOnly="1" outline="0" fieldPosition="0">
        <references count="1">
          <reference field="4294967294" selected="0">
            <x v="1"/>
          </reference>
        </references>
      </pivotArea>
    </chartFormat>
    <chartFormat chart="6" format="0" series="1">
      <pivotArea type="data" dataOnly="1" outline="0" fieldPosition="0">
        <references count="1">
          <reference field="4294967294" selected="0">
            <x v="0"/>
          </reference>
        </references>
      </pivotArea>
    </chartFormat>
    <chartFormat chart="6" format="1" series="1">
      <pivotArea type="data" dataOnly="1" outline="0" fieldPosition="0">
        <references count="1">
          <reference field="4294967294" selected="0">
            <x v="1"/>
          </reference>
        </references>
      </pivotArea>
    </chartFormat>
    <chartFormat chart="8" format="2" series="1">
      <pivotArea type="data" dataOnly="1" outline="0" fieldPosition="0">
        <references count="1">
          <reference field="4294967294" selected="0">
            <x v="0"/>
          </reference>
        </references>
      </pivotArea>
    </chartFormat>
    <chartFormat chart="8" format="3" series="1">
      <pivotArea type="data" dataOnly="1" outline="0" fieldPosition="0">
        <references count="1">
          <reference field="4294967294" selected="0">
            <x v="1"/>
          </reference>
        </references>
      </pivotArea>
    </chartFormat>
    <chartFormat chart="9" format="4" series="1">
      <pivotArea type="data" dataOnly="1" outline="0" fieldPosition="0">
        <references count="1">
          <reference field="4294967294" selected="0">
            <x v="0"/>
          </reference>
        </references>
      </pivotArea>
    </chartFormat>
    <chartFormat chart="9" format="5" series="1">
      <pivotArea type="data" dataOnly="1" outline="0" fieldPosition="0">
        <references count="1">
          <reference field="4294967294" selected="0">
            <x v="1"/>
          </reference>
        </references>
      </pivotArea>
    </chartFormat>
    <chartFormat chart="10" format="4" series="1">
      <pivotArea type="data" dataOnly="1" outline="0" fieldPosition="0">
        <references count="1">
          <reference field="4294967294" selected="0">
            <x v="0"/>
          </reference>
        </references>
      </pivotArea>
    </chartFormat>
    <chartFormat chart="10" format="5" series="1">
      <pivotArea type="data" dataOnly="1" outline="0" fieldPosition="0">
        <references count="1">
          <reference field="4294967294" selected="0">
            <x v="1"/>
          </reference>
        </references>
      </pivotArea>
    </chartFormat>
  </chart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PivotTable9" cacheId="1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17" fieldListSortAscending="0" mdxSubqueries="0" applyNumberFormats="0" applyBorderFormats="0" applyFontFormats="0" applyPatternFormats="0" applyAlignmentFormats="0" applyWidthHeightFormats="1" r:id="rId1">
  <location ref="A14:C28" firstHeaderRow="0" firstDataRow="1" firstDataCol="1"/>
  <pivotFields count="21">
    <pivotField showDropDowns="1" compact="1" outline="1" subtotalTop="1" dragToRow="1" dragToCol="1" dragToPage="1" dragToData="1" dragOff="1" showAll="0" topAutoShow="1" itemPageCount="10" sortType="manual" defaultSubtotal="1">
      <items count="5">
        <item t="data" sd="1" x="0"/>
        <item t="data" sd="1" x="1"/>
        <item t="data" sd="1" x="3"/>
        <item t="data" sd="1" x="2"/>
        <item t="default" sd="1"/>
      </items>
    </pivotField>
    <pivotField showDropDowns="1" compact="1" outline="1" subtotalTop="1" dragToRow="1" dragToCol="1" dragToPage="1" dragToData="1" dragOff="1" showAll="0" topAutoShow="1" itemPageCount="10" sortType="manual" defaultSubtotal="1">
      <items count="13">
        <item t="data" sd="1" x="2"/>
        <item t="data" sd="1" x="5"/>
        <item t="data" sd="1" x="9"/>
        <item t="data" sd="1" x="10"/>
        <item t="data" sd="1" x="6"/>
        <item t="data" sd="1" x="7"/>
        <item t="data" sd="1" x="11"/>
        <item t="data" sd="1" x="0"/>
        <item t="data" sd="1" x="3"/>
        <item t="data" sd="1" x="4"/>
        <item t="data" sd="1" x="1"/>
        <item t="data" sd="1" x="8"/>
        <item t="default" sd="1"/>
      </items>
    </pivotField>
    <pivotField axis="axisRow" showDropDowns="1" compact="1" outline="1" subtotalTop="1" dragToRow="1" dragToCol="1" dragToPage="1" dragToData="1" dragOff="1" showAll="0" topAutoShow="1" itemPageCount="10" sortType="manual" defaultSubtotal="1">
      <items count="14">
        <item t="data" sd="1" x="6"/>
        <item t="data" sd="1" x="7"/>
        <item t="data" sd="1" x="8"/>
        <item t="data" sd="1" x="9"/>
        <item t="data" sd="1" x="10"/>
        <item t="data" sd="1" x="11"/>
        <item t="data" sd="1" x="0"/>
        <item t="data" sd="1" x="1"/>
        <item t="data" sd="1" x="2"/>
        <item t="data" sd="1" x="3"/>
        <item t="data" sd="1" x="4"/>
        <item t="data" sd="1" x="5"/>
        <item t="data" sd="1" x="12"/>
        <item t="default" sd="1"/>
      </items>
    </pivotField>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0" dragToCol="0" dragToPage="0" dragToData="1" dragOff="1" showAll="0" topAutoShow="1" itemPageCount="10" sortType="manual" defaultSubtotal="0"/>
    <pivotField showDropDowns="1" compact="1" outline="1" subtotalTop="1" dragToRow="0" dragToCol="0" dragToPage="0" dragToData="1" dragOff="1" showAll="0" topAutoShow="1" itemPageCount="10" sortType="manual" defaultSubtotal="0"/>
  </pivotFields>
  <rowFields count="1">
    <field x="2"/>
  </rowFields>
  <rowItems count="14">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grand" r="0" i="0">
      <x v="0"/>
    </i>
  </rowItems>
  <colFields count="1">
    <field x="-2"/>
  </colFields>
  <colItems count="2">
    <i t="data" r="0" i="0">
      <x v="0"/>
    </i>
    <i t="data" r="0" i="1">
      <x v="1"/>
    </i>
  </colItems>
  <dataFields count="2">
    <dataField name="Sum of 目標" fld="3" subtotal="sum" showDataAs="normal" baseField="0" baseItem="0"/>
    <dataField name="Sum of 実績" fld="4" subtotal="sum" showDataAs="normal" baseField="0" baseItem="0"/>
  </dataFields>
  <formats count="17">
    <format action="formatting" dxfId="355">
      <pivotArea type="all" dataOnly="0" outline="0" fieldPosition="0"/>
    </format>
    <format action="formatting" dxfId="354">
      <pivotArea type="normal" dataOnly="1" outline="0" collapsedLevelsAreSubtotals="1" fieldPosition="0"/>
    </format>
    <format action="formatting" dxfId="353">
      <pivotArea field="2" type="button" dataOnly="0" labelOnly="1" outline="0" axis="axisRow" fieldPosition="0"/>
    </format>
    <format action="formatting" dxfId="352">
      <pivotArea type="normal" dataOnly="0" labelOnly="1" outline="1" fieldPosition="0">
        <references count="1">
          <reference field="2">
            <x v="11"/>
          </reference>
        </references>
      </pivotArea>
    </format>
    <format action="formatting" dxfId="351">
      <pivotArea type="normal" dataOnly="0" labelOnly="1" grandRow="1" outline="0" fieldPosition="0"/>
    </format>
    <format action="formatting" dxfId="350">
      <pivotArea type="normal" dataOnly="0" labelOnly="1" outline="0" fieldPosition="0">
        <references count="1">
          <reference field="4294967294">
            <x v="1"/>
          </reference>
        </references>
      </pivotArea>
    </format>
    <format action="formatting" dxfId="343">
      <pivotArea field="2" type="button" dataOnly="0" labelOnly="1" outline="0" axis="axisRow" fieldPosition="0"/>
    </format>
    <format action="formatting" dxfId="342">
      <pivotArea type="normal" dataOnly="0" labelOnly="1" outline="0" fieldPosition="0">
        <references count="1">
          <reference field="4294967294">
            <x v="1"/>
          </reference>
        </references>
      </pivotArea>
    </format>
    <format action="formatting" dxfId="341">
      <pivotArea field="2" type="button" dataOnly="0" labelOnly="1" outline="0" axis="axisRow" fieldPosition="0"/>
    </format>
    <format action="formatting" dxfId="340">
      <pivotArea type="normal" dataOnly="0" labelOnly="1" outline="0" fieldPosition="0">
        <references count="1">
          <reference field="4294967294">
            <x v="1"/>
          </reference>
        </references>
      </pivotArea>
    </format>
    <format action="formatting" dxfId="339">
      <pivotArea type="normal" dataOnly="1" grandRow="1" outline="0" collapsedLevelsAreSubtotals="1" fieldPosition="0"/>
    </format>
    <format action="formatting" dxfId="338">
      <pivotArea type="normal" dataOnly="0" labelOnly="1" grandRow="1" outline="0" fieldPosition="0"/>
    </format>
    <format action="formatting" dxfId="337">
      <pivotArea type="normal" dataOnly="1" grandRow="1" outline="0" collapsedLevelsAreSubtotals="1" fieldPosition="0"/>
    </format>
    <format action="formatting" dxfId="336">
      <pivotArea type="normal" dataOnly="0" labelOnly="1" grandRow="1" outline="0" fieldPosition="0"/>
    </format>
    <format action="formatting" dxfId="323">
      <pivotArea type="normal" dataOnly="1" grandRow="1" outline="0" collapsedLevelsAreSubtotals="1" fieldPosition="0"/>
    </format>
    <format action="formatting" dxfId="322">
      <pivotArea type="normal" dataOnly="1" grandRow="1" outline="0" collapsedLevelsAreSubtotals="1" fieldPosition="0"/>
    </format>
    <format action="formatting" dxfId="321">
      <pivotArea type="normal" dataOnly="0" labelOnly="1" grandRow="1" outline="0" fieldPosition="0"/>
    </format>
  </formats>
  <chartFormats count="2">
    <chartFormat chart="3" format="4" series="1">
      <pivotArea type="data" dataOnly="1" outline="0" fieldPosition="0">
        <references count="1">
          <reference field="4294967294" selected="0">
            <x v="0"/>
          </reference>
        </references>
      </pivotArea>
    </chartFormat>
    <chartFormat chart="3" format="5" series="1">
      <pivotArea type="data" dataOnly="1" outline="0" fieldPosition="0">
        <references count="1">
          <reference field="4294967294" selected="0">
            <x v="1"/>
          </reference>
        </references>
      </pivotArea>
    </chartFormat>
  </chartFormats>
  <pivotTableStyleInfo name="PivotStyleLight16" showRowHeaders="1" showColHeaders="1" showRowStripes="0" showColStripes="0" showLastColumn="1"/>
</pivotTableDefinition>
</file>

<file path=xl/pivotTables/pivotTable6.xml><?xml version="1.0" encoding="utf-8"?>
<pivotTableDefinition xmlns:r="http://schemas.openxmlformats.org/officeDocument/2006/relationships" xmlns="http://schemas.openxmlformats.org/spreadsheetml/2006/main" name="PivotTable6" cacheId="1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F8:H12" firstHeaderRow="0" firstDataRow="1" firstDataCol="1"/>
  <pivotFields count="21">
    <pivotField showDropDowns="1" compact="1" outline="1" subtotalTop="1" dragToRow="1" dragToCol="1" dragToPage="1" dragToData="1" dragOff="1" showAll="0" topAutoShow="1" itemPageCount="10" sortType="manual" defaultSubtotal="1">
      <items count="5">
        <item t="data" sd="1" x="0"/>
        <item t="data" sd="1" x="1"/>
        <item t="data" sd="1" x="3"/>
        <item t="data" sd="1" x="2"/>
        <item t="default" sd="1"/>
      </items>
    </pivotField>
    <pivotField showDropDowns="1" compact="1" outline="1" subtotalTop="1" dragToRow="1" dragToCol="1" dragToPage="1" dragToData="1" dragOff="1" showAll="0" topAutoShow="1" itemPageCount="10" sortType="manual" defaultSubtotal="1">
      <items count="13">
        <item t="data" sd="1" x="2"/>
        <item t="data" sd="1" x="5"/>
        <item t="data" sd="1" x="9"/>
        <item t="data" sd="1" x="10"/>
        <item t="data" sd="1" x="6"/>
        <item t="data" sd="1" x="7"/>
        <item t="data" sd="1" x="11"/>
        <item t="data" sd="1" x="0"/>
        <item t="data" sd="1" x="3"/>
        <item t="data" sd="1" x="4"/>
        <item t="data" sd="1" x="1"/>
        <item t="data" sd="1" x="8"/>
        <item t="default" sd="1"/>
      </items>
    </pivotField>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4">
        <item t="data" sd="1" x="0"/>
        <item t="data" sd="1" x="1"/>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0" dragToCol="0" dragToPage="0" dragToData="1" dragOff="1" showAll="0" topAutoShow="1" itemPageCount="10" sortType="manual" defaultSubtotal="0"/>
    <pivotField showDropDowns="1" compact="1" outline="1" subtotalTop="1" dragToRow="0" dragToCol="0" dragToPage="0" dragToData="1" dragOff="1" showAll="0" topAutoShow="1" itemPageCount="10" sortType="manual" defaultSubtotal="0"/>
  </pivotFields>
  <rowFields count="1">
    <field x="9"/>
  </rowFields>
  <rowItems count="4">
    <i t="data" r="0" i="0">
      <x v="0"/>
    </i>
    <i t="data" r="0" i="0">
      <x v="1"/>
    </i>
    <i t="data" r="0" i="0">
      <x v="2"/>
    </i>
    <i t="grand" r="0" i="0">
      <x v="0"/>
    </i>
  </rowItems>
  <colFields count="1">
    <field x="-2"/>
  </colFields>
  <colItems count="2">
    <i t="data" r="0" i="0">
      <x v="0"/>
    </i>
    <i t="data" r="0" i="1">
      <x v="1"/>
    </i>
  </colItems>
  <dataFields count="2">
    <dataField name="Sum of 目標" fld="3" subtotal="sum" showDataAs="normal" baseField="0" baseItem="0"/>
    <dataField name="Sum of 実績" fld="4" subtotal="sum" showDataAs="normal" baseField="0" baseItem="0"/>
  </dataFields>
  <formats count="18">
    <format action="formatting" dxfId="349">
      <pivotArea type="all" dataOnly="0" outline="0" fieldPosition="0"/>
    </format>
    <format action="formatting" dxfId="348">
      <pivotArea type="normal" dataOnly="1" outline="0" collapsedLevelsAreSubtotals="1" fieldPosition="0"/>
    </format>
    <format action="formatting" dxfId="347">
      <pivotArea field="9" type="button" dataOnly="0" labelOnly="1" outline="0" axis="axisRow" fieldPosition="0"/>
    </format>
    <format action="formatting" dxfId="346">
      <pivotArea type="normal" dataOnly="0" labelOnly="1" outline="1" fieldPosition="0">
        <references count="1">
          <reference field="9">
            <x v="1"/>
          </reference>
        </references>
      </pivotArea>
    </format>
    <format action="formatting" dxfId="345">
      <pivotArea type="normal" dataOnly="0" labelOnly="1" grandRow="1" outline="0" fieldPosition="0"/>
    </format>
    <format action="formatting" dxfId="344">
      <pivotArea type="normal" dataOnly="0" labelOnly="1" outline="0" fieldPosition="0">
        <references count="1">
          <reference field="4294967294">
            <x v="1"/>
          </reference>
        </references>
      </pivotArea>
    </format>
    <format action="formatting" dxfId="335">
      <pivotArea field="9" type="button" dataOnly="0" labelOnly="1" outline="0" axis="axisRow" fieldPosition="0"/>
    </format>
    <format action="formatting" dxfId="334">
      <pivotArea type="normal" dataOnly="0" labelOnly="1" outline="0" fieldPosition="0">
        <references count="1">
          <reference field="4294967294">
            <x v="1"/>
          </reference>
        </references>
      </pivotArea>
    </format>
    <format action="formatting" dxfId="333">
      <pivotArea field="9" type="button" dataOnly="0" labelOnly="1" outline="0" axis="axisRow" fieldPosition="0"/>
    </format>
    <format action="formatting" dxfId="332">
      <pivotArea type="normal" dataOnly="0" labelOnly="1" outline="0" fieldPosition="0">
        <references count="1">
          <reference field="4294967294">
            <x v="1"/>
          </reference>
        </references>
      </pivotArea>
    </format>
    <format action="formatting" dxfId="331">
      <pivotArea type="normal" dataOnly="1" grandRow="1" outline="0" collapsedLevelsAreSubtotals="1" fieldPosition="0"/>
    </format>
    <format action="formatting" dxfId="330">
      <pivotArea type="normal" dataOnly="0" labelOnly="1" grandRow="1" outline="0" fieldPosition="0"/>
    </format>
    <format action="formatting" dxfId="329">
      <pivotArea type="normal" dataOnly="1" grandRow="1" outline="0" collapsedLevelsAreSubtotals="1" fieldPosition="0"/>
    </format>
    <format action="formatting" dxfId="328">
      <pivotArea type="normal" dataOnly="0" labelOnly="1" grandRow="1" outline="0" fieldPosition="0"/>
    </format>
    <format action="formatting" dxfId="327">
      <pivotArea type="normal" dataOnly="1" grandRow="1" outline="0" collapsedLevelsAreSubtotals="1" fieldPosition="0"/>
    </format>
    <format action="formatting" dxfId="326">
      <pivotArea type="normal" dataOnly="1" grandRow="1" outline="0" collapsedLevelsAreSubtotals="1" fieldPosition="0"/>
    </format>
    <format action="formatting" dxfId="325">
      <pivotArea type="normal" dataOnly="0" labelOnly="1" outline="1" fieldPosition="0">
        <references count="1">
          <reference field="9">
            <x v="1"/>
          </reference>
        </references>
      </pivotArea>
    </format>
    <format action="formatting" dxfId="324">
      <pivotArea type="normal" dataOnly="0" labelOnly="1" grandRow="1" outline="0" fieldPosition="0"/>
    </format>
  </formats>
  <pivotTableStyleInfo name="PivotStyleLight16" showRowHeaders="1" showColHeaders="1" showRowStripes="0" showColStripes="0" showLastColumn="1"/>
</pivotTableDefinitio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pivotTable" Target="/xl/pivotTables/pivotTable1.xml" Id="rId1"/></Relationships>
</file>

<file path=xl/worksheets/_rels/sheet11.xml.rels><Relationships xmlns="http://schemas.openxmlformats.org/package/2006/relationships"><Relationship Type="http://schemas.openxmlformats.org/officeDocument/2006/relationships/pivotTable" Target="/xl/pivotTables/pivotTable2.xml" Id="rId1"/><Relationship Type="http://schemas.openxmlformats.org/officeDocument/2006/relationships/pivotTable" Target="/xl/pivotTables/pivotTable3.xml" Id="rId2"/></Relationships>
</file>

<file path=xl/worksheets/_rels/sheet12.xml.rels><Relationships xmlns="http://schemas.openxmlformats.org/package/2006/relationships"><Relationship Type="http://schemas.openxmlformats.org/officeDocument/2006/relationships/drawing" Target="/xl/drawings/drawing1.xml" Id="rId1"/><Relationship Type="http://schemas.openxmlformats.org/officeDocument/2006/relationships/pivotTable" Target="/xl/pivotTables/pivotTable4.xml" Id="rId2"/></Relationships>
</file>

<file path=xl/worksheets/_rels/sheet13.xml.rels><Relationships xmlns="http://schemas.openxmlformats.org/package/2006/relationships"><Relationship Type="http://schemas.openxmlformats.org/officeDocument/2006/relationships/drawing" Target="/xl/drawings/drawing2.xml" Id="rId1"/><Relationship Type="http://schemas.openxmlformats.org/officeDocument/2006/relationships/pivotTable" Target="/xl/pivotTables/pivotTable5.xml" Id="rId2"/><Relationship Type="http://schemas.openxmlformats.org/officeDocument/2006/relationships/pivotTable" Target="/xl/pivotTables/pivotTable6.xml" Id="rId3"/></Relationships>
</file>

<file path=xl/worksheets/sheet1.xml><?xml version="1.0" encoding="utf-8"?>
<worksheet xmlns="http://schemas.openxmlformats.org/spreadsheetml/2006/main">
  <sheetPr>
    <tabColor rgb="FFFFFF00"/>
    <outlinePr summaryBelow="1" summaryRight="1"/>
    <pageSetUpPr/>
  </sheetPr>
  <dimension ref="B6:K27"/>
  <sheetViews>
    <sheetView topLeftCell="A11" zoomScale="95" workbookViewId="0">
      <selection activeCell="H21" sqref="H21"/>
    </sheetView>
  </sheetViews>
  <sheetFormatPr baseColWidth="8" defaultRowHeight="14.25"/>
  <cols>
    <col width="11.06640625" customWidth="1" style="154" min="2" max="2"/>
    <col width="15.59765625" customWidth="1" style="154" min="4" max="11"/>
  </cols>
  <sheetData>
    <row r="6">
      <c r="D6" s="1" t="n"/>
    </row>
    <row r="7">
      <c r="D7" s="1" t="n"/>
    </row>
    <row r="8">
      <c r="I8" s="2" t="n"/>
    </row>
    <row r="9">
      <c r="B9" s="3" t="n"/>
      <c r="C9" s="3" t="n"/>
      <c r="D9" s="3" t="n">
        <v>1</v>
      </c>
      <c r="E9" s="3" t="n">
        <v>2</v>
      </c>
      <c r="F9" s="3" t="n">
        <v>3</v>
      </c>
      <c r="G9" s="3" t="n">
        <v>4</v>
      </c>
      <c r="H9" s="4" t="n">
        <v>5</v>
      </c>
      <c r="I9" s="5" t="n">
        <v>6</v>
      </c>
      <c r="J9" s="3" t="n">
        <v>7</v>
      </c>
      <c r="K9" s="3" t="n">
        <v>8</v>
      </c>
    </row>
    <row r="10">
      <c r="B10" s="3" t="n"/>
      <c r="C10" s="3" t="n"/>
      <c r="D10" s="3" t="inlineStr">
        <is>
          <t>25年3月まで</t>
        </is>
      </c>
      <c r="E10" s="3" t="inlineStr">
        <is>
          <t>26年3月まで</t>
        </is>
      </c>
      <c r="F10" s="3" t="inlineStr">
        <is>
          <t>27年3月まで</t>
        </is>
      </c>
      <c r="G10" s="3" t="inlineStr">
        <is>
          <t>28年3月まで</t>
        </is>
      </c>
      <c r="H10" s="4" t="inlineStr">
        <is>
          <t>29年3月まで</t>
        </is>
      </c>
      <c r="I10" s="5" t="inlineStr">
        <is>
          <t>30年3月まで</t>
        </is>
      </c>
      <c r="J10" s="3" t="inlineStr">
        <is>
          <t>31年3月まで</t>
        </is>
      </c>
      <c r="K10" s="3" t="inlineStr">
        <is>
          <t>31年3月まで</t>
        </is>
      </c>
    </row>
    <row r="11">
      <c r="B11" s="3" t="inlineStr">
        <is>
          <t>年度</t>
        </is>
      </c>
      <c r="C11" s="3" t="n"/>
      <c r="D11" s="3" t="n">
        <v>24</v>
      </c>
      <c r="E11" s="3" t="n">
        <v>25</v>
      </c>
      <c r="F11" s="3" t="n">
        <v>26</v>
      </c>
      <c r="G11" s="3" t="n">
        <v>27</v>
      </c>
      <c r="H11" s="4" t="n">
        <v>28</v>
      </c>
      <c r="I11" s="5" t="n">
        <v>29</v>
      </c>
      <c r="J11" s="3" t="n">
        <v>30</v>
      </c>
      <c r="K11" s="3" t="n">
        <v>31</v>
      </c>
    </row>
    <row r="12" customFormat="1" s="10">
      <c r="B12" s="6" t="inlineStr">
        <is>
          <t>(万円）</t>
        </is>
      </c>
      <c r="C12" s="7" t="n"/>
      <c r="D12" s="7">
        <f>D14+D16+D20+D22+D24+D26</f>
        <v/>
      </c>
      <c r="E12" s="7">
        <f>E14+E16+E20+E22+E24+E26</f>
        <v/>
      </c>
      <c r="F12" s="7">
        <f>F14+F16+F20+F22+F24+F26</f>
        <v/>
      </c>
      <c r="G12" s="7">
        <f>G14+G16+G20+G22+G24+G26</f>
        <v/>
      </c>
      <c r="H12" s="8">
        <f>H14+H16+H20+H22+H24+H26</f>
        <v/>
      </c>
      <c r="I12" s="9">
        <f>I14+I16+I20+I22+I24+I26</f>
        <v/>
      </c>
      <c r="J12" s="7">
        <f>J14+J16+J20+J22+J24+J26</f>
        <v/>
      </c>
      <c r="K12" s="7">
        <f>K14+K16+K20+K22+K24+K26</f>
        <v/>
      </c>
    </row>
    <row r="13">
      <c r="B13" s="243" t="inlineStr">
        <is>
          <t>清掃事業</t>
        </is>
      </c>
      <c r="C13" s="11" t="inlineStr">
        <is>
          <t>比率</t>
        </is>
      </c>
      <c r="D13" s="12">
        <f>D14/D12</f>
        <v/>
      </c>
      <c r="E13" s="12">
        <f>E14/E12</f>
        <v/>
      </c>
      <c r="F13" s="12">
        <f>F14/F12</f>
        <v/>
      </c>
      <c r="G13" s="12">
        <f>G14/G12</f>
        <v/>
      </c>
      <c r="H13" s="13">
        <f>H14/H12</f>
        <v/>
      </c>
      <c r="I13" s="14">
        <f>I14/I12</f>
        <v/>
      </c>
      <c r="J13" s="12">
        <f>J14/J12</f>
        <v/>
      </c>
      <c r="K13" s="12">
        <f>K14/K12</f>
        <v/>
      </c>
    </row>
    <row r="14" customFormat="1" s="19">
      <c r="B14" s="169" t="n"/>
      <c r="C14" s="15" t="inlineStr">
        <is>
          <t>売上</t>
        </is>
      </c>
      <c r="D14" s="15" t="n">
        <v>288900</v>
      </c>
      <c r="E14" s="16">
        <f>D14+12000</f>
        <v/>
      </c>
      <c r="F14" s="16">
        <f>E14+12000</f>
        <v/>
      </c>
      <c r="G14" s="15">
        <f>F14+12000</f>
        <v/>
      </c>
      <c r="H14" s="17">
        <f>G14+12000</f>
        <v/>
      </c>
      <c r="I14" s="18">
        <f>H14+12000</f>
        <v/>
      </c>
      <c r="J14" s="15">
        <f>I14+12000</f>
        <v/>
      </c>
      <c r="K14" s="15">
        <f>J14+12000</f>
        <v/>
      </c>
    </row>
    <row r="15">
      <c r="B15" s="244" t="inlineStr">
        <is>
          <t>定期清掃法令　　修理修繕</t>
        </is>
      </c>
      <c r="C15" s="20" t="inlineStr">
        <is>
          <t>比率</t>
        </is>
      </c>
      <c r="D15" s="21">
        <f>D16/D12</f>
        <v/>
      </c>
      <c r="E15" s="21">
        <f>E16/E12</f>
        <v/>
      </c>
      <c r="F15" s="21">
        <f>F16/F12</f>
        <v/>
      </c>
      <c r="G15" s="21">
        <f>G16/G12</f>
        <v/>
      </c>
      <c r="H15" s="22">
        <f>H16/H12</f>
        <v/>
      </c>
      <c r="I15" s="23">
        <f>I16/I12</f>
        <v/>
      </c>
      <c r="J15" s="21">
        <f>J16/J12</f>
        <v/>
      </c>
      <c r="K15" s="21">
        <f>K16/K12</f>
        <v/>
      </c>
    </row>
    <row r="16" customFormat="1" s="19">
      <c r="B16" s="168" t="n"/>
      <c r="C16" s="245" t="inlineStr">
        <is>
          <t>売上</t>
        </is>
      </c>
      <c r="D16" s="246" t="n">
        <v>75100</v>
      </c>
      <c r="E16" s="246">
        <f>75100+24000</f>
        <v/>
      </c>
      <c r="F16" s="246">
        <f>E16+24000</f>
        <v/>
      </c>
      <c r="G16" s="246">
        <f>F16+24000</f>
        <v/>
      </c>
      <c r="H16" s="177">
        <f>G16+24000</f>
        <v/>
      </c>
      <c r="I16" s="164">
        <f>H16+24000</f>
        <v/>
      </c>
      <c r="J16" s="246">
        <f>I16+24000</f>
        <v/>
      </c>
      <c r="K16" s="246">
        <f>J16+24000</f>
        <v/>
      </c>
    </row>
    <row r="17" customFormat="1" s="19">
      <c r="B17" s="168" t="n"/>
      <c r="C17" s="168" t="n"/>
      <c r="D17" s="168" t="n"/>
      <c r="E17" s="168" t="n"/>
      <c r="F17" s="168" t="n"/>
      <c r="G17" s="168" t="n"/>
      <c r="H17" s="178" t="n"/>
      <c r="I17" s="165" t="n"/>
      <c r="J17" s="168" t="n"/>
      <c r="K17" s="168" t="n"/>
    </row>
    <row r="18" customFormat="1" s="19">
      <c r="B18" s="169" t="n"/>
      <c r="C18" s="169" t="n"/>
      <c r="D18" s="169" t="n"/>
      <c r="E18" s="169" t="n"/>
      <c r="F18" s="169" t="n"/>
      <c r="G18" s="169" t="n"/>
      <c r="H18" s="179" t="n"/>
      <c r="I18" s="166" t="n"/>
      <c r="J18" s="169" t="n"/>
      <c r="K18" s="169" t="n"/>
    </row>
    <row r="19">
      <c r="B19" s="247" t="inlineStr">
        <is>
          <t>民泊</t>
        </is>
      </c>
      <c r="C19" s="24" t="inlineStr">
        <is>
          <t>比率</t>
        </is>
      </c>
      <c r="D19" s="25">
        <f>D20/D12</f>
        <v/>
      </c>
      <c r="E19" s="25">
        <f>E20/E12</f>
        <v/>
      </c>
      <c r="F19" s="25">
        <f>F20/F12</f>
        <v/>
      </c>
      <c r="G19" s="25">
        <f>G20/G12</f>
        <v/>
      </c>
      <c r="H19" s="26">
        <f>H20/H12</f>
        <v/>
      </c>
      <c r="I19" s="27">
        <f>I20/I12</f>
        <v/>
      </c>
      <c r="J19" s="25">
        <f>J20/J12</f>
        <v/>
      </c>
      <c r="K19" s="25">
        <f>K20/K12</f>
        <v/>
      </c>
    </row>
    <row r="20" customFormat="1" s="19">
      <c r="B20" s="169" t="n"/>
      <c r="C20" s="28" t="inlineStr">
        <is>
          <t>売上</t>
        </is>
      </c>
      <c r="D20" s="29" t="n">
        <v>36500</v>
      </c>
      <c r="E20" s="29" t="n">
        <v>36500</v>
      </c>
      <c r="F20" s="29" t="n">
        <v>56500</v>
      </c>
      <c r="G20" s="29" t="n">
        <v>75000</v>
      </c>
      <c r="H20" s="29" t="n">
        <v>75000</v>
      </c>
      <c r="I20" s="30" t="n">
        <v>75000</v>
      </c>
      <c r="J20" s="29" t="n">
        <v>75000</v>
      </c>
      <c r="K20" s="29" t="n">
        <v>75000</v>
      </c>
    </row>
    <row r="21">
      <c r="B21" s="248" t="inlineStr">
        <is>
          <t>物販／人材紹介／その他</t>
        </is>
      </c>
      <c r="C21" s="31" t="inlineStr">
        <is>
          <t>比率</t>
        </is>
      </c>
      <c r="D21" s="32">
        <f>D22/D12</f>
        <v/>
      </c>
      <c r="E21" s="32">
        <f>E22/E12</f>
        <v/>
      </c>
      <c r="F21" s="32">
        <f>F22/F12</f>
        <v/>
      </c>
      <c r="G21" s="32">
        <f>G22/G12</f>
        <v/>
      </c>
      <c r="H21" s="33">
        <f>H22/H12</f>
        <v/>
      </c>
      <c r="I21" s="34">
        <f>I22/I12</f>
        <v/>
      </c>
      <c r="J21" s="32">
        <f>J22/J12</f>
        <v/>
      </c>
      <c r="K21" s="32">
        <f>K22/K12</f>
        <v/>
      </c>
    </row>
    <row r="22" customFormat="1" s="19">
      <c r="B22" s="169" t="n"/>
      <c r="C22" s="35" t="inlineStr">
        <is>
          <t>売上</t>
        </is>
      </c>
      <c r="D22" s="35" t="n">
        <v>2000</v>
      </c>
      <c r="E22" s="16" t="n">
        <v>3000</v>
      </c>
      <c r="F22" s="16" t="n">
        <v>4000</v>
      </c>
      <c r="G22" s="35" t="n">
        <v>5000</v>
      </c>
      <c r="H22" s="36" t="n">
        <v>6000</v>
      </c>
      <c r="I22" s="37" t="n">
        <v>7000</v>
      </c>
      <c r="J22" s="35" t="n">
        <v>8000</v>
      </c>
      <c r="K22" s="35" t="n">
        <v>9000</v>
      </c>
    </row>
    <row r="23">
      <c r="B23" s="249" t="inlineStr">
        <is>
          <t>保育事業</t>
        </is>
      </c>
      <c r="C23" s="38" t="inlineStr">
        <is>
          <t>比率</t>
        </is>
      </c>
      <c r="D23" s="39">
        <f>D24/D12</f>
        <v/>
      </c>
      <c r="E23" s="39">
        <f>E24/E12</f>
        <v/>
      </c>
      <c r="F23" s="39">
        <f>F24/F12</f>
        <v/>
      </c>
      <c r="G23" s="39">
        <f>G24/G12</f>
        <v/>
      </c>
      <c r="H23" s="40">
        <f>H24/H12</f>
        <v/>
      </c>
      <c r="I23" s="41">
        <f>I24/I12</f>
        <v/>
      </c>
      <c r="J23" s="39">
        <f>J24/J12</f>
        <v/>
      </c>
      <c r="K23" s="39">
        <f>K24/K12</f>
        <v/>
      </c>
    </row>
    <row r="24" customFormat="1" s="19">
      <c r="B24" s="169" t="n"/>
      <c r="C24" s="42" t="inlineStr">
        <is>
          <t>売上</t>
        </is>
      </c>
      <c r="D24" s="42" t="n">
        <v>4000</v>
      </c>
      <c r="E24" s="42" t="n">
        <v>4000</v>
      </c>
      <c r="F24" s="42" t="n">
        <v>4000</v>
      </c>
      <c r="G24" s="42" t="n">
        <v>4000</v>
      </c>
      <c r="H24" s="43" t="n">
        <v>4000</v>
      </c>
      <c r="I24" s="44" t="n">
        <v>4000</v>
      </c>
      <c r="J24" s="42" t="n">
        <v>4000</v>
      </c>
      <c r="K24" s="42" t="n">
        <v>4000</v>
      </c>
    </row>
    <row r="25" customFormat="1" s="19">
      <c r="B25" s="250" t="inlineStr">
        <is>
          <t>リネン事業</t>
        </is>
      </c>
      <c r="C25" s="45" t="inlineStr">
        <is>
          <t>比率</t>
        </is>
      </c>
      <c r="D25" s="46">
        <f>D26/D12</f>
        <v/>
      </c>
      <c r="E25" s="46">
        <f>E26/E12</f>
        <v/>
      </c>
      <c r="F25" s="46">
        <f>F26/F12</f>
        <v/>
      </c>
      <c r="G25" s="46">
        <f>G26/G12</f>
        <v/>
      </c>
      <c r="H25" s="47">
        <f>H26/H12</f>
        <v/>
      </c>
      <c r="I25" s="48">
        <f>I26/I12</f>
        <v/>
      </c>
      <c r="J25" s="46">
        <f>J26/J12</f>
        <v/>
      </c>
      <c r="K25" s="46">
        <f>K26/K12</f>
        <v/>
      </c>
    </row>
    <row r="26" customFormat="1" s="19">
      <c r="B26" s="169" t="n"/>
      <c r="C26" s="49" t="inlineStr">
        <is>
          <t>売上</t>
        </is>
      </c>
      <c r="D26" s="49" t="n">
        <v>0</v>
      </c>
      <c r="E26" s="49" t="n"/>
      <c r="F26" s="49" t="n"/>
      <c r="G26" s="49" t="n">
        <v>2900</v>
      </c>
      <c r="H26" s="50" t="n">
        <v>3500</v>
      </c>
      <c r="I26" s="51" t="n">
        <v>4300</v>
      </c>
      <c r="J26" s="49" t="n">
        <v>4300</v>
      </c>
      <c r="K26" s="49" t="n">
        <v>4300</v>
      </c>
    </row>
    <row r="27">
      <c r="D27" s="52">
        <f>D23+D21+D19+D15+D13+D25</f>
        <v/>
      </c>
      <c r="E27" s="52">
        <f>E23+E21+E19+E15+E13+E25</f>
        <v/>
      </c>
      <c r="F27" s="52">
        <f>F23+F21+F19+F15+F13+F25</f>
        <v/>
      </c>
      <c r="G27" s="52">
        <f>G23+G21+G19+G15+G13+G25</f>
        <v/>
      </c>
      <c r="H27" s="52">
        <f>H23+H21+H19+H15+H13+H25</f>
        <v/>
      </c>
      <c r="I27" s="53">
        <f>I23+I21+I19+I15+I13+I25</f>
        <v/>
      </c>
      <c r="J27" s="52">
        <f>J23+J21+J19+J15+J13+J25</f>
        <v/>
      </c>
      <c r="K27" s="52">
        <f>K23+K21+K19+K15+K13+K25</f>
        <v/>
      </c>
    </row>
  </sheetData>
  <mergeCells count="15">
    <mergeCell ref="B21:B22"/>
    <mergeCell ref="B23:B24"/>
    <mergeCell ref="B25:B26"/>
    <mergeCell ref="G16:G18"/>
    <mergeCell ref="H16:H18"/>
    <mergeCell ref="I16:I18"/>
    <mergeCell ref="J16:J18"/>
    <mergeCell ref="K16:K18"/>
    <mergeCell ref="B19:B20"/>
    <mergeCell ref="B13:B14"/>
    <mergeCell ref="B15:B18"/>
    <mergeCell ref="C16:C18"/>
    <mergeCell ref="D16:D18"/>
    <mergeCell ref="E16:E18"/>
    <mergeCell ref="F16:F18"/>
  </mergeCells>
  <pageMargins left="0.7" right="0.7" top="0.75" bottom="0.75" header="0.3" footer="0.3"/>
  <pageSetup orientation="portrait" paperSize="9"/>
</worksheet>
</file>

<file path=xl/worksheets/sheet2.xml><?xml version="1.0" encoding="utf-8"?>
<worksheet xmlns="http://schemas.openxmlformats.org/spreadsheetml/2006/main">
  <sheetPr>
    <tabColor rgb="FF7030A0"/>
    <outlinePr summaryBelow="1" summaryRight="1"/>
    <pageSetUpPr fitToPage="1"/>
  </sheetPr>
  <dimension ref="A1:BG33"/>
  <sheetViews>
    <sheetView showGridLines="0" view="pageBreakPreview" topLeftCell="B1" zoomScaleNormal="100" zoomScaleSheetLayoutView="100" zoomScalePageLayoutView="80" workbookViewId="0">
      <pane xSplit="3" ySplit="6" topLeftCell="AC16" activePane="bottomRight" state="frozen"/>
      <selection activeCell="B1" sqref="B1"/>
      <selection pane="topRight" activeCell="E1" sqref="E1"/>
      <selection pane="bottomLeft" activeCell="B6" sqref="B6"/>
      <selection pane="bottomRight" activeCell="AD17" sqref="AD17"/>
    </sheetView>
  </sheetViews>
  <sheetFormatPr baseColWidth="8" defaultColWidth="9" defaultRowHeight="20.25" customHeight="1" outlineLevelRow="1"/>
  <cols>
    <col width="9" customWidth="1" style="54" min="1" max="1"/>
    <col width="20.59765625" customWidth="1" style="55" min="2" max="2"/>
    <col width="10.3984375" customWidth="1" style="56" min="3" max="3"/>
    <col hidden="1" width="20.59765625" customWidth="1" style="56" min="4" max="4"/>
    <col width="18.265625" customWidth="1" style="211" min="5" max="8"/>
    <col width="20.46484375" customWidth="1" style="211" min="9" max="9"/>
    <col width="18.265625" customWidth="1" style="211" min="10" max="22"/>
    <col width="23.33203125" bestFit="1" customWidth="1" style="211" min="23" max="23"/>
    <col width="20.9296875" customWidth="1" style="211" min="24" max="24"/>
    <col width="18.265625" customWidth="1" style="211" min="25" max="27"/>
    <col width="21.06640625" customWidth="1" style="211" min="28" max="28"/>
    <col width="18.265625" customWidth="1" style="211" min="29" max="30"/>
    <col width="19.59765625" customWidth="1" style="211" min="31" max="31"/>
    <col width="18.265625" customWidth="1" style="211" min="32" max="43"/>
    <col width="23.33203125" bestFit="1" customWidth="1" style="211" min="44" max="44"/>
    <col width="18.265625" customWidth="1" style="211" min="45" max="46"/>
    <col width="23.33203125" bestFit="1" customWidth="1" style="211" min="47" max="47"/>
    <col width="21.06640625" customWidth="1" style="211" min="48" max="48"/>
    <col width="18.265625" customWidth="1" style="66" min="49" max="49"/>
    <col width="10.06640625" customWidth="1" style="192" min="50" max="51"/>
    <col width="12.33203125" customWidth="1" style="192" min="52" max="52"/>
    <col width="2.33203125" customWidth="1" style="192" min="53" max="53"/>
    <col width="9" customWidth="1" style="59" min="54" max="58"/>
    <col width="25.796875" customWidth="1" style="59" min="59" max="59"/>
    <col width="9" customWidth="1" style="59" min="60" max="61"/>
    <col width="9" customWidth="1" style="59" min="62" max="16384"/>
  </cols>
  <sheetData>
    <row r="1" ht="20.25" customHeight="1" s="154">
      <c r="AW1" s="211" t="n"/>
    </row>
    <row r="2" ht="37.5" customFormat="1" customHeight="1" s="181">
      <c r="A2" s="180" t="inlineStr">
        <is>
          <t>2025年通期</t>
        </is>
      </c>
      <c r="E2" s="60" t="n"/>
      <c r="F2" s="60" t="n"/>
      <c r="G2" s="60" t="n"/>
      <c r="H2" s="60" t="n"/>
      <c r="I2" s="60" t="n"/>
      <c r="J2" s="60" t="n"/>
      <c r="K2" s="60" t="n"/>
      <c r="L2" s="60" t="n"/>
      <c r="M2" s="60" t="n"/>
      <c r="N2" s="60" t="n"/>
      <c r="O2" s="60" t="n"/>
      <c r="P2" s="60" t="n"/>
      <c r="Q2" s="60" t="n"/>
      <c r="R2" s="60" t="n"/>
      <c r="S2" s="60" t="n"/>
      <c r="T2" s="60" t="n"/>
      <c r="U2" s="60" t="n"/>
      <c r="V2" s="60" t="n"/>
      <c r="W2" s="60" t="n"/>
      <c r="X2" s="60" t="n"/>
      <c r="Y2" s="60" t="n"/>
      <c r="Z2" s="60" t="n"/>
      <c r="AA2" s="60" t="n"/>
      <c r="AB2" s="60" t="n"/>
      <c r="AC2" s="60" t="n"/>
      <c r="AD2" s="60" t="n"/>
      <c r="AE2" s="60" t="n"/>
      <c r="AF2" s="60" t="n"/>
      <c r="AG2" s="60" t="n"/>
      <c r="AH2" s="60" t="n"/>
      <c r="AI2" s="60" t="n"/>
      <c r="AJ2" s="60" t="n"/>
      <c r="AK2" s="60" t="n"/>
      <c r="AL2" s="60" t="n"/>
      <c r="AM2" s="60" t="n"/>
      <c r="AN2" s="60" t="n"/>
      <c r="AO2" s="60" t="n"/>
      <c r="AP2" s="60" t="n"/>
      <c r="AQ2" s="60" t="n"/>
      <c r="AR2" s="60" t="n"/>
      <c r="AS2" s="60" t="n"/>
      <c r="AT2" s="60" t="n"/>
      <c r="AU2" s="60" t="n"/>
      <c r="AV2" s="60" t="n"/>
      <c r="AW2" s="60" t="n"/>
      <c r="AX2" s="61" t="n"/>
      <c r="AY2" s="182" t="n"/>
      <c r="BA2" s="62" t="n"/>
    </row>
    <row r="3" ht="36" customFormat="1" customHeight="1" s="181" thickBot="1">
      <c r="A3" s="64" t="n"/>
      <c r="B3" s="183" t="inlineStr">
        <is>
          <t>紹介状況・目標</t>
        </is>
      </c>
      <c r="C3" s="184" t="n"/>
      <c r="D3" s="184" t="n"/>
      <c r="E3" s="60" t="n"/>
      <c r="F3" s="60" t="n"/>
      <c r="G3" s="60" t="n"/>
      <c r="H3" s="60" t="n"/>
      <c r="I3" s="60" t="n"/>
      <c r="J3" s="60" t="n"/>
      <c r="K3" s="60" t="n"/>
      <c r="L3" s="121" t="n"/>
      <c r="M3" s="60" t="n"/>
      <c r="N3" s="60" t="n"/>
      <c r="O3" s="60" t="n"/>
      <c r="P3" s="60" t="n"/>
      <c r="Q3" s="60" t="n"/>
      <c r="R3" s="60" t="n"/>
      <c r="S3" s="60" t="n"/>
      <c r="T3" s="60" t="n"/>
      <c r="U3" s="60" t="n"/>
      <c r="V3" s="60" t="n"/>
      <c r="W3" s="60" t="n"/>
      <c r="X3" s="60" t="n"/>
      <c r="Y3" s="60" t="n"/>
      <c r="Z3" s="60" t="n"/>
      <c r="AA3" s="60" t="n"/>
      <c r="AB3" s="60" t="n"/>
      <c r="AC3" s="60" t="n"/>
      <c r="AD3" s="60" t="n"/>
      <c r="AE3" s="60" t="n"/>
      <c r="AF3" s="60" t="n"/>
      <c r="AG3" s="60" t="n"/>
      <c r="AH3" s="60" t="n"/>
      <c r="AI3" s="60" t="n"/>
      <c r="AJ3" s="60" t="n"/>
      <c r="AK3" s="60" t="n"/>
      <c r="AL3" s="60" t="n"/>
      <c r="AM3" s="60" t="n"/>
      <c r="AN3" s="60" t="n"/>
      <c r="AO3" s="60" t="n"/>
      <c r="AP3" s="60" t="n"/>
      <c r="AQ3" s="60" t="n"/>
      <c r="AR3" s="60" t="n"/>
      <c r="AS3" s="60" t="n"/>
      <c r="AT3" s="60" t="n"/>
      <c r="AU3" s="60" t="n"/>
      <c r="AV3" s="60" t="n"/>
      <c r="AW3" s="60" t="inlineStr">
        <is>
          <t>単位(千円）</t>
        </is>
      </c>
      <c r="AX3" s="185" t="n"/>
    </row>
    <row r="4" ht="40.05" customHeight="1" s="154">
      <c r="B4" s="186" t="n"/>
      <c r="C4" s="187" t="n"/>
      <c r="D4" s="188" t="n"/>
      <c r="E4" s="189" t="inlineStr">
        <is>
          <t>４月</t>
        </is>
      </c>
      <c r="F4" s="187" t="n"/>
      <c r="G4" s="190" t="n"/>
      <c r="H4" s="189" t="inlineStr">
        <is>
          <t>5月</t>
        </is>
      </c>
      <c r="I4" s="187" t="n"/>
      <c r="J4" s="190" t="n"/>
      <c r="K4" s="189" t="inlineStr">
        <is>
          <t>6月</t>
        </is>
      </c>
      <c r="L4" s="187" t="n"/>
      <c r="M4" s="190" t="n"/>
      <c r="N4" s="189" t="inlineStr">
        <is>
          <t>7月</t>
        </is>
      </c>
      <c r="O4" s="187" t="n"/>
      <c r="P4" s="190" t="n"/>
      <c r="Q4" s="189" t="inlineStr">
        <is>
          <t>8月</t>
        </is>
      </c>
      <c r="R4" s="187" t="n"/>
      <c r="S4" s="190" t="n"/>
      <c r="T4" s="189" t="inlineStr">
        <is>
          <t>9月</t>
        </is>
      </c>
      <c r="U4" s="187" t="n"/>
      <c r="V4" s="190" t="n"/>
      <c r="W4" s="193" t="inlineStr">
        <is>
          <t xml:space="preserve">上期 </t>
        </is>
      </c>
      <c r="X4" s="187" t="n"/>
      <c r="Y4" s="190" t="n"/>
      <c r="Z4" s="195" t="inlineStr">
        <is>
          <t>10月</t>
        </is>
      </c>
      <c r="AA4" s="196" t="n"/>
      <c r="AB4" s="197" t="n"/>
      <c r="AC4" s="189" t="inlineStr">
        <is>
          <t>11月</t>
        </is>
      </c>
      <c r="AD4" s="187" t="n"/>
      <c r="AE4" s="190" t="n"/>
      <c r="AF4" s="189" t="inlineStr">
        <is>
          <t>12月</t>
        </is>
      </c>
      <c r="AG4" s="187" t="n"/>
      <c r="AH4" s="190" t="n"/>
      <c r="AI4" s="189" t="inlineStr">
        <is>
          <t>1月</t>
        </is>
      </c>
      <c r="AJ4" s="187" t="n"/>
      <c r="AK4" s="190" t="n"/>
      <c r="AL4" s="189" t="inlineStr">
        <is>
          <t>2月</t>
        </is>
      </c>
      <c r="AM4" s="187" t="n"/>
      <c r="AN4" s="190" t="n"/>
      <c r="AO4" s="189" t="inlineStr">
        <is>
          <t>3月</t>
        </is>
      </c>
      <c r="AP4" s="187" t="n"/>
      <c r="AQ4" s="190" t="n"/>
      <c r="AR4" s="193" t="inlineStr">
        <is>
          <t>下期</t>
        </is>
      </c>
      <c r="AS4" s="187" t="n"/>
      <c r="AT4" s="190" t="n"/>
      <c r="AU4" s="193" t="inlineStr">
        <is>
          <t>総合計</t>
        </is>
      </c>
      <c r="AV4" s="187" t="n"/>
      <c r="AW4" s="190" t="n"/>
      <c r="AX4" s="191" t="n"/>
      <c r="AZ4" s="191" t="n"/>
      <c r="BA4" s="191" t="n"/>
    </row>
    <row r="5" ht="40.05" customHeight="1" s="154">
      <c r="B5" s="204" t="n"/>
      <c r="C5" s="187" t="n"/>
      <c r="D5" s="190" t="n"/>
      <c r="E5" s="94" t="inlineStr">
        <is>
          <t>目標</t>
        </is>
      </c>
      <c r="F5" s="95" t="inlineStr">
        <is>
          <t>実績</t>
        </is>
      </c>
      <c r="G5" s="96" t="inlineStr">
        <is>
          <t>達成率</t>
        </is>
      </c>
      <c r="H5" s="94" t="inlineStr">
        <is>
          <t>目標</t>
        </is>
      </c>
      <c r="I5" s="95" t="inlineStr">
        <is>
          <t>実績</t>
        </is>
      </c>
      <c r="J5" s="96" t="inlineStr">
        <is>
          <t>達成率</t>
        </is>
      </c>
      <c r="K5" s="94" t="inlineStr">
        <is>
          <t>目標</t>
        </is>
      </c>
      <c r="L5" s="95" t="inlineStr">
        <is>
          <t>実績</t>
        </is>
      </c>
      <c r="M5" s="96" t="inlineStr">
        <is>
          <t>達成率</t>
        </is>
      </c>
      <c r="N5" s="94" t="inlineStr">
        <is>
          <t>目標</t>
        </is>
      </c>
      <c r="O5" s="95" t="inlineStr">
        <is>
          <t>実績</t>
        </is>
      </c>
      <c r="P5" s="96" t="inlineStr">
        <is>
          <t>達成率</t>
        </is>
      </c>
      <c r="Q5" s="94" t="inlineStr">
        <is>
          <t>目標</t>
        </is>
      </c>
      <c r="R5" s="95" t="inlineStr">
        <is>
          <t>実績</t>
        </is>
      </c>
      <c r="S5" s="96" t="inlineStr">
        <is>
          <t>達成率</t>
        </is>
      </c>
      <c r="T5" s="94" t="inlineStr">
        <is>
          <t>目標</t>
        </is>
      </c>
      <c r="U5" s="95" t="inlineStr">
        <is>
          <t>実績</t>
        </is>
      </c>
      <c r="V5" s="96" t="inlineStr">
        <is>
          <t>達成率</t>
        </is>
      </c>
      <c r="W5" s="94" t="inlineStr">
        <is>
          <t>目標</t>
        </is>
      </c>
      <c r="X5" s="95" t="inlineStr">
        <is>
          <t>実績</t>
        </is>
      </c>
      <c r="Y5" s="96" t="inlineStr">
        <is>
          <t>達成率</t>
        </is>
      </c>
      <c r="Z5" s="94" t="inlineStr">
        <is>
          <t>目標</t>
        </is>
      </c>
      <c r="AA5" s="95" t="inlineStr">
        <is>
          <t>実績</t>
        </is>
      </c>
      <c r="AB5" s="96" t="inlineStr">
        <is>
          <t>達成率</t>
        </is>
      </c>
      <c r="AC5" s="94" t="inlineStr">
        <is>
          <t>目標</t>
        </is>
      </c>
      <c r="AD5" s="95" t="inlineStr">
        <is>
          <t>実績</t>
        </is>
      </c>
      <c r="AE5" s="96" t="inlineStr">
        <is>
          <t>達成率</t>
        </is>
      </c>
      <c r="AF5" s="94" t="inlineStr">
        <is>
          <t>目標</t>
        </is>
      </c>
      <c r="AG5" s="95" t="inlineStr">
        <is>
          <t>実績</t>
        </is>
      </c>
      <c r="AH5" s="96" t="inlineStr">
        <is>
          <t>達成率</t>
        </is>
      </c>
      <c r="AI5" s="94" t="inlineStr">
        <is>
          <t>目標</t>
        </is>
      </c>
      <c r="AJ5" s="95" t="inlineStr">
        <is>
          <t>実績</t>
        </is>
      </c>
      <c r="AK5" s="96" t="inlineStr">
        <is>
          <t>達成率</t>
        </is>
      </c>
      <c r="AL5" s="94" t="inlineStr">
        <is>
          <t>目標</t>
        </is>
      </c>
      <c r="AM5" s="95" t="inlineStr">
        <is>
          <t>実績</t>
        </is>
      </c>
      <c r="AN5" s="96" t="inlineStr">
        <is>
          <t>達成率</t>
        </is>
      </c>
      <c r="AO5" s="94" t="inlineStr">
        <is>
          <t>目標</t>
        </is>
      </c>
      <c r="AP5" s="95" t="inlineStr">
        <is>
          <t>実績</t>
        </is>
      </c>
      <c r="AQ5" s="96" t="inlineStr">
        <is>
          <t>達成率</t>
        </is>
      </c>
      <c r="AR5" s="94" t="inlineStr">
        <is>
          <t>目標</t>
        </is>
      </c>
      <c r="AS5" s="95" t="inlineStr">
        <is>
          <t>実績</t>
        </is>
      </c>
      <c r="AT5" s="96" t="inlineStr">
        <is>
          <t>達成率</t>
        </is>
      </c>
      <c r="AU5" s="94" t="inlineStr">
        <is>
          <t>目標</t>
        </is>
      </c>
      <c r="AV5" s="95" t="inlineStr">
        <is>
          <t>実績</t>
        </is>
      </c>
      <c r="AW5" s="96" t="inlineStr">
        <is>
          <t>達成率</t>
        </is>
      </c>
      <c r="AX5" s="191" t="n"/>
      <c r="AY5" s="191" t="n"/>
      <c r="AZ5" s="191" t="n"/>
      <c r="BA5" s="191" t="n"/>
    </row>
    <row r="6" ht="40.05" customHeight="1" s="154">
      <c r="B6" s="194" t="inlineStr">
        <is>
          <t>総合計</t>
        </is>
      </c>
      <c r="C6" s="187" t="n"/>
      <c r="D6" s="188" t="n"/>
      <c r="E6" s="133">
        <f>E11+E17+E24</f>
        <v/>
      </c>
      <c r="F6" s="133">
        <f>F11+F17+F24</f>
        <v/>
      </c>
      <c r="G6" s="134">
        <f>F6/E6</f>
        <v/>
      </c>
      <c r="H6" s="133">
        <f>H11+H17+H24</f>
        <v/>
      </c>
      <c r="I6" s="133">
        <f>I11+I17+I24</f>
        <v/>
      </c>
      <c r="J6" s="134">
        <f>I6/H6</f>
        <v/>
      </c>
      <c r="K6" s="133">
        <f>K11+K17+K24</f>
        <v/>
      </c>
      <c r="L6" s="133">
        <f>L11+L17+L24</f>
        <v/>
      </c>
      <c r="M6" s="134">
        <f>L6/K6</f>
        <v/>
      </c>
      <c r="N6" s="133">
        <f>N11+N17+N24</f>
        <v/>
      </c>
      <c r="O6" s="133">
        <f>O11+O17+O24</f>
        <v/>
      </c>
      <c r="P6" s="134">
        <f>O6/N6</f>
        <v/>
      </c>
      <c r="Q6" s="133">
        <f>Q11+Q17+Q24</f>
        <v/>
      </c>
      <c r="R6" s="133">
        <f>R11+R17+R24</f>
        <v/>
      </c>
      <c r="S6" s="135">
        <f>R6/Q6</f>
        <v/>
      </c>
      <c r="T6" s="133">
        <f>T11+T17+T24</f>
        <v/>
      </c>
      <c r="U6" s="133">
        <f>U11+U17+U24</f>
        <v/>
      </c>
      <c r="V6" s="136">
        <f>U6/T6</f>
        <v/>
      </c>
      <c r="W6" s="137">
        <f>W11+W17+W24</f>
        <v/>
      </c>
      <c r="X6" s="137">
        <f>X11+X17+X24</f>
        <v/>
      </c>
      <c r="Y6" s="138">
        <f>X6/W6</f>
        <v/>
      </c>
      <c r="Z6" s="139">
        <f>Z11+Z17+Z24</f>
        <v/>
      </c>
      <c r="AA6" s="139">
        <f>AA11+AA17+AA24</f>
        <v/>
      </c>
      <c r="AB6" s="138">
        <f>AA6/Z6</f>
        <v/>
      </c>
      <c r="AC6" s="132">
        <f>AC11+AC17+AC24</f>
        <v/>
      </c>
      <c r="AD6" s="132">
        <f>AD11+AD17+AD24</f>
        <v/>
      </c>
      <c r="AE6" s="138">
        <f>AD6/AC6</f>
        <v/>
      </c>
      <c r="AF6" s="132">
        <f>AF11+AF17+AF24</f>
        <v/>
      </c>
      <c r="AG6" s="132">
        <f>AG11+AG17+AG24</f>
        <v/>
      </c>
      <c r="AH6" s="138">
        <f>AG6/AF6</f>
        <v/>
      </c>
      <c r="AI6" s="132">
        <f>AI11+AI17+AI24</f>
        <v/>
      </c>
      <c r="AJ6" s="132">
        <f>AJ11+AJ17+AJ24</f>
        <v/>
      </c>
      <c r="AK6" s="138">
        <f>AJ6/AI6</f>
        <v/>
      </c>
      <c r="AL6" s="132">
        <f>AL11+AL17+AL24</f>
        <v/>
      </c>
      <c r="AM6" s="132">
        <f>AM11+AM17+AM24</f>
        <v/>
      </c>
      <c r="AN6" s="138">
        <f>AM6/AL6</f>
        <v/>
      </c>
      <c r="AO6" s="132">
        <f>AO11+AO17+AO24</f>
        <v/>
      </c>
      <c r="AP6" s="132">
        <f>AP11+AP17+AP24</f>
        <v/>
      </c>
      <c r="AQ6" s="138">
        <f>AP6/AO6</f>
        <v/>
      </c>
      <c r="AR6" s="132">
        <f>AR11+AR17+AR24</f>
        <v/>
      </c>
      <c r="AS6" s="132">
        <f>AS11+AS17+AS24</f>
        <v/>
      </c>
      <c r="AT6" s="138">
        <f>AS6/AR6</f>
        <v/>
      </c>
      <c r="AU6" s="132">
        <f>AU11+AU17+AU24</f>
        <v/>
      </c>
      <c r="AV6" s="132">
        <f>AV11+AV17+AV24</f>
        <v/>
      </c>
      <c r="AW6" s="140">
        <f>AV6/AU6</f>
        <v/>
      </c>
      <c r="AX6" s="191" t="n"/>
      <c r="AY6" s="191" t="n"/>
      <c r="AZ6" s="191" t="n"/>
      <c r="BA6" s="191" t="n"/>
    </row>
    <row r="7" ht="40.05" customHeight="1" s="154">
      <c r="B7" s="201" t="inlineStr">
        <is>
          <t>試験対策</t>
        </is>
      </c>
      <c r="C7" s="202" t="n"/>
      <c r="D7" s="203" t="n"/>
      <c r="E7" s="125" t="inlineStr">
        <is>
          <t>目標</t>
        </is>
      </c>
      <c r="F7" s="126" t="inlineStr">
        <is>
          <t>実績</t>
        </is>
      </c>
      <c r="G7" s="127" t="inlineStr">
        <is>
          <t>達成率</t>
        </is>
      </c>
      <c r="H7" s="125" t="inlineStr">
        <is>
          <t>目標</t>
        </is>
      </c>
      <c r="I7" s="126" t="inlineStr">
        <is>
          <t>実績</t>
        </is>
      </c>
      <c r="J7" s="127" t="inlineStr">
        <is>
          <t>達成率</t>
        </is>
      </c>
      <c r="K7" s="125" t="inlineStr">
        <is>
          <t>目標</t>
        </is>
      </c>
      <c r="L7" s="126" t="inlineStr">
        <is>
          <t>実績</t>
        </is>
      </c>
      <c r="M7" s="127" t="inlineStr">
        <is>
          <t>達成率</t>
        </is>
      </c>
      <c r="N7" s="125" t="inlineStr">
        <is>
          <t>目標</t>
        </is>
      </c>
      <c r="O7" s="126" t="inlineStr">
        <is>
          <t>実績</t>
        </is>
      </c>
      <c r="P7" s="128" t="inlineStr">
        <is>
          <t>達成率</t>
        </is>
      </c>
      <c r="Q7" s="125" t="inlineStr">
        <is>
          <t>目標</t>
        </is>
      </c>
      <c r="R7" s="126" t="inlineStr">
        <is>
          <t>実績</t>
        </is>
      </c>
      <c r="S7" s="127" t="inlineStr">
        <is>
          <t>達成率</t>
        </is>
      </c>
      <c r="T7" s="125" t="inlineStr">
        <is>
          <t>目標</t>
        </is>
      </c>
      <c r="U7" s="126" t="inlineStr">
        <is>
          <t>実績</t>
        </is>
      </c>
      <c r="V7" s="127" t="inlineStr">
        <is>
          <t>達成率</t>
        </is>
      </c>
      <c r="W7" s="125" t="inlineStr">
        <is>
          <t>目標</t>
        </is>
      </c>
      <c r="X7" s="126" t="inlineStr">
        <is>
          <t>実績</t>
        </is>
      </c>
      <c r="Y7" s="127" t="inlineStr">
        <is>
          <t>達成率</t>
        </is>
      </c>
      <c r="Z7" s="125" t="inlineStr">
        <is>
          <t>目標</t>
        </is>
      </c>
      <c r="AA7" s="126" t="inlineStr">
        <is>
          <t>実績</t>
        </is>
      </c>
      <c r="AB7" s="96" t="inlineStr">
        <is>
          <t>達成率</t>
        </is>
      </c>
      <c r="AC7" s="125" t="inlineStr">
        <is>
          <t>目標</t>
        </is>
      </c>
      <c r="AD7" s="147" t="inlineStr">
        <is>
          <t>実績</t>
        </is>
      </c>
      <c r="AE7" s="96" t="inlineStr">
        <is>
          <t>達成率</t>
        </is>
      </c>
      <c r="AF7" s="150" t="inlineStr">
        <is>
          <t>目標</t>
        </is>
      </c>
      <c r="AG7" s="147" t="inlineStr">
        <is>
          <t>実績</t>
        </is>
      </c>
      <c r="AH7" s="151" t="inlineStr">
        <is>
          <t>達成率</t>
        </is>
      </c>
      <c r="AI7" s="147" t="inlineStr">
        <is>
          <t>目標</t>
        </is>
      </c>
      <c r="AJ7" s="147" t="inlineStr">
        <is>
          <t>実績</t>
        </is>
      </c>
      <c r="AK7" s="151" t="inlineStr">
        <is>
          <t>達成率</t>
        </is>
      </c>
      <c r="AL7" s="147" t="inlineStr">
        <is>
          <t>目標</t>
        </is>
      </c>
      <c r="AM7" s="147" t="inlineStr">
        <is>
          <t>実績</t>
        </is>
      </c>
      <c r="AN7" s="151" t="inlineStr">
        <is>
          <t>達成率</t>
        </is>
      </c>
      <c r="AO7" s="147" t="inlineStr">
        <is>
          <t>目標</t>
        </is>
      </c>
      <c r="AP7" s="147" t="inlineStr">
        <is>
          <t>実績</t>
        </is>
      </c>
      <c r="AQ7" s="151" t="inlineStr">
        <is>
          <t>達成率</t>
        </is>
      </c>
      <c r="AR7" s="147" t="inlineStr">
        <is>
          <t>目標</t>
        </is>
      </c>
      <c r="AS7" s="147" t="inlineStr">
        <is>
          <t>実績</t>
        </is>
      </c>
      <c r="AT7" s="151" t="inlineStr">
        <is>
          <t>達成率</t>
        </is>
      </c>
      <c r="AU7" s="125" t="inlineStr">
        <is>
          <t>目標</t>
        </is>
      </c>
      <c r="AV7" s="126" t="inlineStr">
        <is>
          <t>実績</t>
        </is>
      </c>
      <c r="AW7" s="127" t="inlineStr">
        <is>
          <t>達成率</t>
        </is>
      </c>
      <c r="AX7" s="191" t="n"/>
      <c r="AY7" s="191" t="n"/>
      <c r="BA7" s="54" t="n"/>
    </row>
    <row r="8" ht="40.05" customHeight="1" s="154">
      <c r="B8" s="198" t="inlineStr">
        <is>
          <t>ビルクリーン</t>
        </is>
      </c>
      <c r="C8" s="199" t="n"/>
      <c r="D8" s="200" t="n"/>
      <c r="E8" s="74" t="n">
        <v>0</v>
      </c>
      <c r="F8" s="86" t="n">
        <v>88</v>
      </c>
      <c r="G8" s="93">
        <f>F8/E8</f>
        <v/>
      </c>
      <c r="H8" s="71" t="n">
        <v>400</v>
      </c>
      <c r="I8" s="67" t="n">
        <v>149</v>
      </c>
      <c r="J8" s="93">
        <f>I8/H8</f>
        <v/>
      </c>
      <c r="K8" s="67" t="n">
        <v>0</v>
      </c>
      <c r="L8" s="67" t="n">
        <v>67</v>
      </c>
      <c r="M8" s="93">
        <f>L8/K8</f>
        <v/>
      </c>
      <c r="N8" s="67" t="n">
        <v>400</v>
      </c>
      <c r="O8" s="67" t="n">
        <v>124</v>
      </c>
      <c r="P8" s="93">
        <f>O8/N8</f>
        <v/>
      </c>
      <c r="Q8" s="74" t="n">
        <v>0</v>
      </c>
      <c r="R8" s="67" t="n">
        <v>186</v>
      </c>
      <c r="S8" s="93">
        <f>R8/Q8</f>
        <v/>
      </c>
      <c r="T8" s="67" t="n">
        <v>400</v>
      </c>
      <c r="U8" s="67" t="n">
        <v>82</v>
      </c>
      <c r="V8" s="93">
        <f>U8/T8</f>
        <v/>
      </c>
      <c r="W8" s="67">
        <f>E8+H8+K8+N8+Q8+T8</f>
        <v/>
      </c>
      <c r="X8" s="67" t="n">
        <v>697</v>
      </c>
      <c r="Y8" s="93">
        <f>X8/W8</f>
        <v/>
      </c>
      <c r="Z8" s="74" t="n">
        <v>400</v>
      </c>
      <c r="AA8" s="67" t="n">
        <v>107</v>
      </c>
      <c r="AB8" s="141">
        <f>AA8/Z8</f>
        <v/>
      </c>
      <c r="AC8" s="67" t="n">
        <v>400</v>
      </c>
      <c r="AD8" s="146" t="n">
        <v>435</v>
      </c>
      <c r="AE8" s="141">
        <f>AD8/AC8</f>
        <v/>
      </c>
      <c r="AF8" s="146" t="n">
        <v>0</v>
      </c>
      <c r="AG8" s="146" t="n"/>
      <c r="AH8" s="148">
        <f>AG8/AF8</f>
        <v/>
      </c>
      <c r="AI8" s="146" t="n">
        <v>400</v>
      </c>
      <c r="AJ8" s="146" t="n"/>
      <c r="AK8" s="148">
        <f>AJ8/AI8</f>
        <v/>
      </c>
      <c r="AL8" s="146" t="n">
        <v>0</v>
      </c>
      <c r="AM8" s="146" t="n"/>
      <c r="AN8" s="148">
        <f>AM8/AL8</f>
        <v/>
      </c>
      <c r="AO8" s="146" t="n">
        <v>400</v>
      </c>
      <c r="AP8" s="146" t="n"/>
      <c r="AQ8" s="148">
        <f>AP8/AO8</f>
        <v/>
      </c>
      <c r="AR8" s="146" t="n">
        <v>1600</v>
      </c>
      <c r="AS8" s="146" t="n">
        <v>543</v>
      </c>
      <c r="AT8" s="148">
        <f>AS8/AR8</f>
        <v/>
      </c>
      <c r="AU8" s="146">
        <f>W8+AR8</f>
        <v/>
      </c>
      <c r="AV8" s="146" t="n">
        <v>1239</v>
      </c>
      <c r="AW8" s="149">
        <f>AV8/AU8</f>
        <v/>
      </c>
      <c r="AX8" s="191" t="n"/>
      <c r="BA8" s="54" t="n"/>
    </row>
    <row r="9" ht="40.05" customHeight="1" s="154">
      <c r="B9" s="198" t="inlineStr">
        <is>
          <t>外食</t>
        </is>
      </c>
      <c r="C9" s="199" t="n"/>
      <c r="D9" s="200" t="n"/>
      <c r="E9" s="74" t="n">
        <v>0</v>
      </c>
      <c r="F9" s="67" t="n"/>
      <c r="G9" s="93">
        <f>F9/E9</f>
        <v/>
      </c>
      <c r="H9" s="71" t="n">
        <v>0</v>
      </c>
      <c r="I9" s="67" t="n">
        <v>0</v>
      </c>
      <c r="J9" s="93">
        <f>I9/H9</f>
        <v/>
      </c>
      <c r="K9" s="67" t="n">
        <v>0</v>
      </c>
      <c r="L9" s="67" t="n">
        <v>0</v>
      </c>
      <c r="M9" s="93">
        <f>L9/K9</f>
        <v/>
      </c>
      <c r="N9" s="67" t="n">
        <v>0</v>
      </c>
      <c r="O9" s="67" t="n"/>
      <c r="P9" s="93">
        <f>O9/N9</f>
        <v/>
      </c>
      <c r="Q9" s="74" t="n">
        <v>0</v>
      </c>
      <c r="R9" s="67" t="n"/>
      <c r="S9" s="93">
        <f>R9/Q9</f>
        <v/>
      </c>
      <c r="T9" s="67" t="n">
        <v>0</v>
      </c>
      <c r="U9" s="67" t="n"/>
      <c r="V9" s="93">
        <f>U9/T9</f>
        <v/>
      </c>
      <c r="W9" s="67">
        <f>E9+H9+K9+N9+Q9+T9</f>
        <v/>
      </c>
      <c r="X9" s="67" t="n"/>
      <c r="Y9" s="93">
        <f>X9/W9</f>
        <v/>
      </c>
      <c r="Z9" s="74" t="n">
        <v>0</v>
      </c>
      <c r="AA9" s="67" t="n">
        <v>0</v>
      </c>
      <c r="AB9" s="141">
        <f>AA9/Z9</f>
        <v/>
      </c>
      <c r="AC9" s="67" t="n">
        <v>0</v>
      </c>
      <c r="AD9" s="67" t="n">
        <v>0</v>
      </c>
      <c r="AE9" s="141">
        <f>AD9/AC9</f>
        <v/>
      </c>
      <c r="AF9" s="67" t="n">
        <v>0</v>
      </c>
      <c r="AG9" s="67" t="n"/>
      <c r="AH9" s="93">
        <f>AG9/AF9</f>
        <v/>
      </c>
      <c r="AI9" s="67" t="n">
        <v>0</v>
      </c>
      <c r="AJ9" s="67" t="n"/>
      <c r="AK9" s="93">
        <f>AJ9/AI9</f>
        <v/>
      </c>
      <c r="AL9" s="67" t="n">
        <v>0</v>
      </c>
      <c r="AM9" s="67" t="n"/>
      <c r="AN9" s="93">
        <f>AM9/AL9</f>
        <v/>
      </c>
      <c r="AO9" s="67" t="n">
        <v>0</v>
      </c>
      <c r="AP9" s="67" t="n"/>
      <c r="AQ9" s="93">
        <f>AP9/AO9</f>
        <v/>
      </c>
      <c r="AR9" s="67" t="n">
        <v>0</v>
      </c>
      <c r="AS9" s="67" t="n">
        <v>0</v>
      </c>
      <c r="AT9" s="93">
        <f>AS9/AR9</f>
        <v/>
      </c>
      <c r="AU9" s="67">
        <f>W9+AR9</f>
        <v/>
      </c>
      <c r="AV9" s="67">
        <f>X9+AS9</f>
        <v/>
      </c>
      <c r="AW9" s="98">
        <f>AV9/AU9</f>
        <v/>
      </c>
      <c r="BA9" s="54" t="n"/>
    </row>
    <row r="10" outlineLevel="1" ht="40.05" customHeight="1" s="154">
      <c r="B10" s="198" t="inlineStr">
        <is>
          <t>宿泊</t>
        </is>
      </c>
      <c r="C10" s="199" t="n"/>
      <c r="D10" s="200" t="n"/>
      <c r="E10" s="74" t="n">
        <v>0</v>
      </c>
      <c r="F10" s="67" t="n"/>
      <c r="G10" s="93">
        <f>F10/E10</f>
        <v/>
      </c>
      <c r="H10" s="71" t="n">
        <v>0</v>
      </c>
      <c r="I10" s="67" t="n">
        <v>0</v>
      </c>
      <c r="J10" s="93">
        <f>I10/H10</f>
        <v/>
      </c>
      <c r="K10" s="67" t="n">
        <v>0</v>
      </c>
      <c r="L10" s="67" t="n">
        <v>0</v>
      </c>
      <c r="M10" s="93">
        <f>L10/K10</f>
        <v/>
      </c>
      <c r="N10" s="67" t="n">
        <v>0</v>
      </c>
      <c r="O10" s="67" t="n"/>
      <c r="P10" s="93">
        <f>O10/N10</f>
        <v/>
      </c>
      <c r="Q10" s="74" t="n">
        <v>0</v>
      </c>
      <c r="R10" s="67" t="n"/>
      <c r="S10" s="93">
        <f>R10/Q10</f>
        <v/>
      </c>
      <c r="T10" s="67" t="n">
        <v>0</v>
      </c>
      <c r="U10" s="67" t="n"/>
      <c r="V10" s="93">
        <f>U10/T10</f>
        <v/>
      </c>
      <c r="W10" s="67">
        <f>E10+H10+K10+N10+Q10+T10</f>
        <v/>
      </c>
      <c r="X10" s="67" t="n"/>
      <c r="Y10" s="93">
        <f>X10/W10</f>
        <v/>
      </c>
      <c r="Z10" s="74" t="n">
        <v>0</v>
      </c>
      <c r="AA10" s="67" t="n">
        <v>0</v>
      </c>
      <c r="AB10" s="152">
        <f>AA10/Z10</f>
        <v/>
      </c>
      <c r="AC10" s="67" t="n">
        <v>0</v>
      </c>
      <c r="AD10" s="67" t="n">
        <v>0</v>
      </c>
      <c r="AE10" s="152">
        <f>AD10/AC10</f>
        <v/>
      </c>
      <c r="AF10" s="67" t="n">
        <v>0</v>
      </c>
      <c r="AG10" s="67" t="n"/>
      <c r="AH10" s="93">
        <f>AG10/AF10</f>
        <v/>
      </c>
      <c r="AI10" s="67" t="n">
        <v>0</v>
      </c>
      <c r="AJ10" s="67" t="n"/>
      <c r="AK10" s="93">
        <f>AJ10/AI10</f>
        <v/>
      </c>
      <c r="AL10" s="67" t="n">
        <v>0</v>
      </c>
      <c r="AM10" s="67" t="n"/>
      <c r="AN10" s="93">
        <f>AM10/AL10</f>
        <v/>
      </c>
      <c r="AO10" s="67" t="n">
        <v>0</v>
      </c>
      <c r="AP10" s="67" t="n"/>
      <c r="AQ10" s="93">
        <f>AP10/AO10</f>
        <v/>
      </c>
      <c r="AR10" s="67" t="n">
        <v>0</v>
      </c>
      <c r="AS10" s="67" t="n">
        <v>0</v>
      </c>
      <c r="AT10" s="93">
        <f>AS10/AR10</f>
        <v/>
      </c>
      <c r="AU10" s="67">
        <f>W10+AR10</f>
        <v/>
      </c>
      <c r="AV10" s="67">
        <f>X10+AS10</f>
        <v/>
      </c>
      <c r="AW10" s="98">
        <f>AV10/AU10</f>
        <v/>
      </c>
      <c r="BA10" s="54" t="n"/>
    </row>
    <row r="11" outlineLevel="1" ht="40.05" customHeight="1" s="154">
      <c r="B11" s="205" t="inlineStr">
        <is>
          <t>小計</t>
        </is>
      </c>
      <c r="C11" s="206" t="n"/>
      <c r="D11" s="207" t="n"/>
      <c r="E11" s="81">
        <f>SUM(E8:E10)</f>
        <v/>
      </c>
      <c r="F11" s="69" t="n">
        <v>88</v>
      </c>
      <c r="G11" s="93">
        <f>F11/E11</f>
        <v/>
      </c>
      <c r="H11" s="119" t="n">
        <v>400</v>
      </c>
      <c r="I11" s="120" t="n">
        <v>149</v>
      </c>
      <c r="J11" s="93">
        <f>I11/H11</f>
        <v/>
      </c>
      <c r="K11" s="83">
        <f>SUM(K8:K10)</f>
        <v/>
      </c>
      <c r="L11" s="120" t="n">
        <v>67</v>
      </c>
      <c r="M11" s="93">
        <f>L11/K11</f>
        <v/>
      </c>
      <c r="N11" s="83">
        <f>SUM(N8:N10)</f>
        <v/>
      </c>
      <c r="O11" s="120" t="n">
        <v>124</v>
      </c>
      <c r="P11" s="93">
        <f>O11/N11</f>
        <v/>
      </c>
      <c r="Q11" s="81">
        <f>SUM(Q8:Q10)</f>
        <v/>
      </c>
      <c r="R11" s="120" t="n">
        <v>186</v>
      </c>
      <c r="S11" s="93">
        <f>R11/Q11</f>
        <v/>
      </c>
      <c r="T11" s="83">
        <f>SUM(T8:T10)</f>
        <v/>
      </c>
      <c r="U11" s="120" t="n">
        <v>82</v>
      </c>
      <c r="V11" s="93">
        <f>U11/T11</f>
        <v/>
      </c>
      <c r="W11" s="83">
        <f>SUM(W8:W10)</f>
        <v/>
      </c>
      <c r="X11" s="120" t="n">
        <v>697</v>
      </c>
      <c r="Y11" s="93">
        <f>X11/W11</f>
        <v/>
      </c>
      <c r="Z11" s="81">
        <f>SUM(Z8:Z10)</f>
        <v/>
      </c>
      <c r="AA11" s="120" t="n">
        <v>107</v>
      </c>
      <c r="AB11" s="153">
        <f>AA11/Z11</f>
        <v/>
      </c>
      <c r="AC11" s="83">
        <f>SUM(AC8:AC10)</f>
        <v/>
      </c>
      <c r="AD11" s="120" t="n">
        <v>435</v>
      </c>
      <c r="AE11" s="153">
        <f>AD11/AC11</f>
        <v/>
      </c>
      <c r="AF11" s="120" t="n">
        <v>0</v>
      </c>
      <c r="AG11" s="120" t="n">
        <v>0</v>
      </c>
      <c r="AH11" s="93">
        <f>AG11/AF11</f>
        <v/>
      </c>
      <c r="AI11" s="83">
        <f>SUM(AI8:AI10)</f>
        <v/>
      </c>
      <c r="AJ11" s="120" t="n">
        <v>0</v>
      </c>
      <c r="AK11" s="93">
        <f>AJ11/AI11</f>
        <v/>
      </c>
      <c r="AL11" s="120" t="n">
        <v>0</v>
      </c>
      <c r="AM11" s="120" t="n">
        <v>0</v>
      </c>
      <c r="AN11" s="93">
        <f>AM11/AL11</f>
        <v/>
      </c>
      <c r="AO11" s="83">
        <f>SUM(AO8:AO10)</f>
        <v/>
      </c>
      <c r="AP11" s="120" t="n">
        <v>0</v>
      </c>
      <c r="AQ11" s="93">
        <f>AP11/AO11</f>
        <v/>
      </c>
      <c r="AR11" s="120" t="n">
        <v>1600</v>
      </c>
      <c r="AS11" s="120" t="n">
        <v>543</v>
      </c>
      <c r="AT11" s="93">
        <f>AS11/AR11</f>
        <v/>
      </c>
      <c r="AU11" s="83">
        <f>SUM(AU8:AU10)</f>
        <v/>
      </c>
      <c r="AV11" s="83">
        <f>SUM(AV8:AV10)</f>
        <v/>
      </c>
      <c r="AW11" s="98">
        <f>AV11/AU11</f>
        <v/>
      </c>
      <c r="BA11" s="54" t="n"/>
    </row>
    <row r="12" outlineLevel="1" ht="40.05" customHeight="1" s="154">
      <c r="B12" s="208" t="inlineStr">
        <is>
          <t>外部紹介</t>
        </is>
      </c>
      <c r="C12" s="202" t="n"/>
      <c r="D12" s="203" t="n"/>
      <c r="E12" s="76" t="inlineStr">
        <is>
          <t>目標</t>
        </is>
      </c>
      <c r="F12" s="92" t="inlineStr">
        <is>
          <t>実績</t>
        </is>
      </c>
      <c r="G12" s="108" t="inlineStr">
        <is>
          <t>達成率</t>
        </is>
      </c>
      <c r="H12" s="73" t="inlineStr">
        <is>
          <t>目標</t>
        </is>
      </c>
      <c r="I12" s="68" t="inlineStr">
        <is>
          <t>実績</t>
        </is>
      </c>
      <c r="J12" s="108" t="inlineStr">
        <is>
          <t>達成率</t>
        </is>
      </c>
      <c r="K12" s="68" t="inlineStr">
        <is>
          <t>目標</t>
        </is>
      </c>
      <c r="L12" s="68" t="inlineStr">
        <is>
          <t>実績</t>
        </is>
      </c>
      <c r="M12" s="108" t="inlineStr">
        <is>
          <t>達成率</t>
        </is>
      </c>
      <c r="N12" s="68" t="inlineStr">
        <is>
          <t>目標</t>
        </is>
      </c>
      <c r="O12" s="68" t="inlineStr">
        <is>
          <t>実績</t>
        </is>
      </c>
      <c r="P12" s="108" t="inlineStr">
        <is>
          <t>達成率</t>
        </is>
      </c>
      <c r="Q12" s="76" t="inlineStr">
        <is>
          <t>目標</t>
        </is>
      </c>
      <c r="R12" s="68" t="inlineStr">
        <is>
          <t>実績</t>
        </is>
      </c>
      <c r="S12" s="108" t="inlineStr">
        <is>
          <t>達成率</t>
        </is>
      </c>
      <c r="T12" s="68" t="inlineStr">
        <is>
          <t>目標</t>
        </is>
      </c>
      <c r="U12" s="68" t="inlineStr">
        <is>
          <t>実績</t>
        </is>
      </c>
      <c r="V12" s="108" t="inlineStr">
        <is>
          <t>達成率</t>
        </is>
      </c>
      <c r="W12" s="68" t="inlineStr">
        <is>
          <t>目標</t>
        </is>
      </c>
      <c r="X12" s="68" t="inlineStr">
        <is>
          <t>実績</t>
        </is>
      </c>
      <c r="Y12" s="108" t="inlineStr">
        <is>
          <t>達成率</t>
        </is>
      </c>
      <c r="Z12" s="76" t="inlineStr">
        <is>
          <t>目標</t>
        </is>
      </c>
      <c r="AA12" s="68" t="inlineStr">
        <is>
          <t>実績</t>
        </is>
      </c>
      <c r="AB12" s="145" t="inlineStr">
        <is>
          <t>達成率</t>
        </is>
      </c>
      <c r="AC12" s="68" t="inlineStr">
        <is>
          <t>目標</t>
        </is>
      </c>
      <c r="AD12" s="68" t="inlineStr">
        <is>
          <t>実績</t>
        </is>
      </c>
      <c r="AE12" s="145" t="inlineStr">
        <is>
          <t>達成率</t>
        </is>
      </c>
      <c r="AF12" s="68" t="inlineStr">
        <is>
          <t>目標</t>
        </is>
      </c>
      <c r="AG12" s="68" t="inlineStr">
        <is>
          <t>実績</t>
        </is>
      </c>
      <c r="AH12" s="108" t="inlineStr">
        <is>
          <t>達成率</t>
        </is>
      </c>
      <c r="AI12" s="68" t="inlineStr">
        <is>
          <t>目標</t>
        </is>
      </c>
      <c r="AJ12" s="68" t="inlineStr">
        <is>
          <t>実績</t>
        </is>
      </c>
      <c r="AK12" s="108" t="inlineStr">
        <is>
          <t>達成率</t>
        </is>
      </c>
      <c r="AL12" s="68" t="inlineStr">
        <is>
          <t>目標</t>
        </is>
      </c>
      <c r="AM12" s="68" t="inlineStr">
        <is>
          <t>実績</t>
        </is>
      </c>
      <c r="AN12" s="108" t="inlineStr">
        <is>
          <t>達成率</t>
        </is>
      </c>
      <c r="AO12" s="68" t="inlineStr">
        <is>
          <t>目標</t>
        </is>
      </c>
      <c r="AP12" s="68" t="inlineStr">
        <is>
          <t>実績</t>
        </is>
      </c>
      <c r="AQ12" s="108" t="inlineStr">
        <is>
          <t>達成率</t>
        </is>
      </c>
      <c r="AR12" s="68" t="inlineStr">
        <is>
          <t>目標</t>
        </is>
      </c>
      <c r="AS12" s="68" t="inlineStr">
        <is>
          <t>実績</t>
        </is>
      </c>
      <c r="AT12" s="108" t="inlineStr">
        <is>
          <t>達成率</t>
        </is>
      </c>
      <c r="AU12" s="68" t="inlineStr">
        <is>
          <t>目標</t>
        </is>
      </c>
      <c r="AV12" s="68" t="inlineStr">
        <is>
          <t>実績</t>
        </is>
      </c>
      <c r="AW12" s="108" t="inlineStr">
        <is>
          <t>達成率</t>
        </is>
      </c>
      <c r="BA12" s="54" t="n"/>
    </row>
    <row r="13" ht="40.05" customHeight="1" s="154">
      <c r="B13" s="198" t="inlineStr">
        <is>
          <t>技人国</t>
        </is>
      </c>
      <c r="C13" s="199" t="n"/>
      <c r="D13" s="200" t="n"/>
      <c r="E13" s="74" t="n">
        <v>900</v>
      </c>
      <c r="F13" s="86" t="n">
        <v>400</v>
      </c>
      <c r="G13" s="93">
        <f>F13/E13</f>
        <v/>
      </c>
      <c r="H13" s="71" t="n">
        <v>900</v>
      </c>
      <c r="I13" s="67" t="n">
        <v>0</v>
      </c>
      <c r="J13" s="93">
        <f>I13/H13</f>
        <v/>
      </c>
      <c r="K13" s="67" t="n">
        <v>900</v>
      </c>
      <c r="L13" s="67" t="n">
        <v>0</v>
      </c>
      <c r="M13" s="93">
        <f>L13/K13</f>
        <v/>
      </c>
      <c r="N13" s="67" t="n">
        <v>900</v>
      </c>
      <c r="O13" s="67" t="n">
        <v>0</v>
      </c>
      <c r="P13" s="93">
        <f>O13/N13</f>
        <v/>
      </c>
      <c r="Q13" s="74" t="n">
        <v>900</v>
      </c>
      <c r="R13" s="67" t="n">
        <v>414</v>
      </c>
      <c r="S13" s="93">
        <f>R13/Q13</f>
        <v/>
      </c>
      <c r="T13" s="67" t="n">
        <v>900</v>
      </c>
      <c r="U13" s="67" t="n">
        <v>0</v>
      </c>
      <c r="V13" s="93">
        <f>U13/T13</f>
        <v/>
      </c>
      <c r="W13" s="67">
        <f>E13+H13+K13+N13+Q13+T13</f>
        <v/>
      </c>
      <c r="X13" s="67">
        <f>F13+I13+L13+O13+R13+U13</f>
        <v/>
      </c>
      <c r="Y13" s="93">
        <f>X13/W13</f>
        <v/>
      </c>
      <c r="Z13" s="74" t="n">
        <v>900</v>
      </c>
      <c r="AA13" s="67" t="n">
        <v>400</v>
      </c>
      <c r="AB13" s="141">
        <f>AA13/Z13</f>
        <v/>
      </c>
      <c r="AC13" s="67" t="n">
        <v>900</v>
      </c>
      <c r="AD13" s="67" t="n">
        <v>350</v>
      </c>
      <c r="AE13" s="141">
        <f>AD13/AC13</f>
        <v/>
      </c>
      <c r="AF13" s="67" t="n">
        <v>900</v>
      </c>
      <c r="AG13" s="67" t="n"/>
      <c r="AH13" s="93">
        <f>AG13/AF13</f>
        <v/>
      </c>
      <c r="AI13" s="67" t="n">
        <v>900</v>
      </c>
      <c r="AJ13" s="67" t="n"/>
      <c r="AK13" s="93">
        <f>AJ13/AI13</f>
        <v/>
      </c>
      <c r="AL13" s="67" t="n">
        <v>900</v>
      </c>
      <c r="AM13" s="67" t="n"/>
      <c r="AN13" s="93">
        <f>AM13/AL13</f>
        <v/>
      </c>
      <c r="AO13" s="67" t="n">
        <v>900</v>
      </c>
      <c r="AP13" s="67" t="n"/>
      <c r="AQ13" s="93">
        <f>AP13/AO13</f>
        <v/>
      </c>
      <c r="AR13" s="67">
        <f>SUM(Z13:AP13)</f>
        <v/>
      </c>
      <c r="AS13" s="67">
        <f>AA13+AD13+AG13+AJ13+AM13+AP13</f>
        <v/>
      </c>
      <c r="AT13" s="93">
        <f>AS13/AR13</f>
        <v/>
      </c>
      <c r="AU13" s="67">
        <f>W13+AR13</f>
        <v/>
      </c>
      <c r="AV13" s="67">
        <f>X13+AS13</f>
        <v/>
      </c>
      <c r="AW13" s="98">
        <f>AV13/AU13</f>
        <v/>
      </c>
      <c r="AX13" s="191" t="n"/>
      <c r="BA13" s="54" t="n"/>
    </row>
    <row r="14" ht="40.05" customHeight="1" s="154">
      <c r="B14" s="198" t="inlineStr">
        <is>
          <t>特定技能</t>
        </is>
      </c>
      <c r="C14" s="199" t="n"/>
      <c r="D14" s="200" t="n"/>
      <c r="E14" s="74" t="n">
        <v>200</v>
      </c>
      <c r="F14" s="67" t="n">
        <v>0</v>
      </c>
      <c r="G14" s="93">
        <f>F14/E14</f>
        <v/>
      </c>
      <c r="H14" s="71" t="n">
        <v>200</v>
      </c>
      <c r="I14" s="67" t="n">
        <v>200</v>
      </c>
      <c r="J14" s="93">
        <f>I14/H14</f>
        <v/>
      </c>
      <c r="K14" s="67" t="n">
        <v>200</v>
      </c>
      <c r="L14" s="67" t="n">
        <v>0</v>
      </c>
      <c r="M14" s="93">
        <f>L14/K14</f>
        <v/>
      </c>
      <c r="N14" s="67" t="n">
        <v>200</v>
      </c>
      <c r="O14" s="67" t="n">
        <v>0</v>
      </c>
      <c r="P14" s="93">
        <f>O14/N14</f>
        <v/>
      </c>
      <c r="Q14" s="74" t="n">
        <v>200</v>
      </c>
      <c r="R14" s="67" t="n">
        <v>0</v>
      </c>
      <c r="S14" s="93">
        <f>R14/Q14</f>
        <v/>
      </c>
      <c r="T14" s="67" t="n">
        <v>200</v>
      </c>
      <c r="U14" s="67" t="n">
        <v>0</v>
      </c>
      <c r="V14" s="93">
        <f>U14/T14</f>
        <v/>
      </c>
      <c r="W14" s="67">
        <f>E14+H14+K14+N14+Q14+T14</f>
        <v/>
      </c>
      <c r="X14" s="67">
        <f>F14+I14+L14+O14+R14+U14</f>
        <v/>
      </c>
      <c r="Y14" s="93">
        <f>X14/W14</f>
        <v/>
      </c>
      <c r="Z14" s="74" t="n">
        <v>200</v>
      </c>
      <c r="AA14" s="67" t="n">
        <v>0</v>
      </c>
      <c r="AB14" s="141">
        <f>AA14/Z14</f>
        <v/>
      </c>
      <c r="AC14" s="67" t="n">
        <v>200</v>
      </c>
      <c r="AD14" s="67" t="n">
        <v>0</v>
      </c>
      <c r="AE14" s="141">
        <f>AD14/AC14</f>
        <v/>
      </c>
      <c r="AF14" s="67" t="n">
        <v>200</v>
      </c>
      <c r="AG14" s="67" t="n"/>
      <c r="AH14" s="93">
        <f>AG14/AF14</f>
        <v/>
      </c>
      <c r="AI14" s="67" t="n">
        <v>200</v>
      </c>
      <c r="AJ14" s="67" t="n"/>
      <c r="AK14" s="93">
        <f>AJ14/AI14</f>
        <v/>
      </c>
      <c r="AL14" s="67" t="n">
        <v>200</v>
      </c>
      <c r="AM14" s="67" t="n"/>
      <c r="AN14" s="93">
        <f>AM14/AL14</f>
        <v/>
      </c>
      <c r="AO14" s="67" t="n">
        <v>200</v>
      </c>
      <c r="AP14" s="67" t="n"/>
      <c r="AQ14" s="93">
        <f>AP14/AO14</f>
        <v/>
      </c>
      <c r="AR14" s="67">
        <f>Z14+AC14+AF14+AI14+AL14+AO14</f>
        <v/>
      </c>
      <c r="AS14" s="67">
        <f>AA14+AD14+AG14+AJ14+AM14+AP14</f>
        <v/>
      </c>
      <c r="AT14" s="93">
        <f>AS14/AR14</f>
        <v/>
      </c>
      <c r="AU14" s="67">
        <f>W14+AR14</f>
        <v/>
      </c>
      <c r="AV14" s="67">
        <f>X14+AS14</f>
        <v/>
      </c>
      <c r="AW14" s="98">
        <f>AV14/AU14</f>
        <v/>
      </c>
      <c r="BA14" s="54" t="n"/>
    </row>
    <row r="15" ht="40.05" customHeight="1" s="154">
      <c r="B15" s="198" t="inlineStr">
        <is>
          <t>アルバイト</t>
        </is>
      </c>
      <c r="C15" s="199" t="n"/>
      <c r="D15" s="200" t="n"/>
      <c r="E15" s="74" t="n"/>
      <c r="F15" s="67" t="n">
        <v>60</v>
      </c>
      <c r="G15" s="93">
        <f>F15/E15</f>
        <v/>
      </c>
      <c r="H15" s="71" t="n"/>
      <c r="I15" s="67" t="n">
        <v>0</v>
      </c>
      <c r="J15" s="93">
        <f>I15/H15</f>
        <v/>
      </c>
      <c r="K15" s="67" t="n"/>
      <c r="L15" s="67" t="n">
        <v>30</v>
      </c>
      <c r="M15" s="93">
        <f>L15/K15</f>
        <v/>
      </c>
      <c r="N15" s="67" t="n"/>
      <c r="O15" s="67" t="n">
        <v>180</v>
      </c>
      <c r="P15" s="93">
        <f>O15/N15</f>
        <v/>
      </c>
      <c r="Q15" s="74" t="n"/>
      <c r="R15" s="67" t="n">
        <v>0</v>
      </c>
      <c r="S15" s="93">
        <f>R15/Q15</f>
        <v/>
      </c>
      <c r="T15" s="67" t="n"/>
      <c r="U15" s="67" t="n">
        <v>0</v>
      </c>
      <c r="V15" s="93">
        <f>U15/T15</f>
        <v/>
      </c>
      <c r="W15" s="67">
        <f>E15+H15+K15+N15+Q15+T15</f>
        <v/>
      </c>
      <c r="X15" s="67">
        <f>F15+I15+L15+O15+R15+U15</f>
        <v/>
      </c>
      <c r="Y15" s="93">
        <f>X15/W15</f>
        <v/>
      </c>
      <c r="Z15" s="74" t="n"/>
      <c r="AA15" s="67" t="n">
        <v>0</v>
      </c>
      <c r="AB15" s="141">
        <f>AA15/Z15</f>
        <v/>
      </c>
      <c r="AC15" s="67" t="n"/>
      <c r="AD15" s="67" t="n">
        <v>0</v>
      </c>
      <c r="AE15" s="141">
        <f>AD15/AC15</f>
        <v/>
      </c>
      <c r="AF15" s="67" t="n"/>
      <c r="AG15" s="67" t="n"/>
      <c r="AH15" s="93">
        <f>AG15/AF15</f>
        <v/>
      </c>
      <c r="AI15" s="67" t="n"/>
      <c r="AJ15" s="67" t="n"/>
      <c r="AK15" s="93">
        <f>AJ15/AI15</f>
        <v/>
      </c>
      <c r="AL15" s="67" t="n"/>
      <c r="AM15" s="67" t="n"/>
      <c r="AN15" s="93">
        <f>AM15/AL15</f>
        <v/>
      </c>
      <c r="AO15" s="67" t="n"/>
      <c r="AP15" s="67" t="n"/>
      <c r="AQ15" s="93">
        <f>AP15/AO15</f>
        <v/>
      </c>
      <c r="AR15" s="67">
        <f>Z15+AC15+AF15+AI15+AL15+AO15</f>
        <v/>
      </c>
      <c r="AS15" s="67">
        <f>AA15+AD15+AG15+AJ15+AM15+AP15</f>
        <v/>
      </c>
      <c r="AT15" s="93">
        <f>AS15/AR15</f>
        <v/>
      </c>
      <c r="AU15" s="67">
        <f>W15+AR15</f>
        <v/>
      </c>
      <c r="AV15" s="67">
        <f>X15+AS15</f>
        <v/>
      </c>
      <c r="AW15" s="98">
        <f>AV15/AU15</f>
        <v/>
      </c>
      <c r="BA15" s="54" t="n"/>
    </row>
    <row r="16" ht="40.05" customHeight="1" s="154">
      <c r="B16" s="198" t="inlineStr">
        <is>
          <t>支援業務</t>
        </is>
      </c>
      <c r="C16" s="199" t="n"/>
      <c r="D16" s="200" t="n"/>
      <c r="E16" s="75" t="n"/>
      <c r="F16" s="67" t="n">
        <v>70</v>
      </c>
      <c r="G16" s="93">
        <f>F16/E16</f>
        <v/>
      </c>
      <c r="H16" s="72" t="n"/>
      <c r="I16" s="70" t="n">
        <v>65</v>
      </c>
      <c r="J16" s="93">
        <f>I16/H16</f>
        <v/>
      </c>
      <c r="K16" s="70" t="n"/>
      <c r="L16" s="70" t="n">
        <v>65</v>
      </c>
      <c r="M16" s="93">
        <f>L16/K16</f>
        <v/>
      </c>
      <c r="N16" s="70" t="n"/>
      <c r="O16" s="70" t="n">
        <v>65</v>
      </c>
      <c r="P16" s="93">
        <f>O16/N16</f>
        <v/>
      </c>
      <c r="Q16" s="75" t="n"/>
      <c r="R16" s="70" t="n">
        <v>85</v>
      </c>
      <c r="S16" s="93">
        <f>R16/Q16</f>
        <v/>
      </c>
      <c r="T16" s="70" t="n"/>
      <c r="U16" s="70" t="n">
        <v>85</v>
      </c>
      <c r="V16" s="93">
        <f>U16/T16</f>
        <v/>
      </c>
      <c r="W16" s="70" t="n"/>
      <c r="X16" s="70">
        <f>F16+I16+L16+O16+R16+U16</f>
        <v/>
      </c>
      <c r="Y16" s="93">
        <f>X16/W16</f>
        <v/>
      </c>
      <c r="Z16" s="75" t="n"/>
      <c r="AA16" s="70" t="n">
        <v>85</v>
      </c>
      <c r="AB16" s="141">
        <f>AA16/Z16</f>
        <v/>
      </c>
      <c r="AC16" s="70" t="n"/>
      <c r="AD16" s="70" t="n">
        <v>145</v>
      </c>
      <c r="AE16" s="141">
        <f>AD16/AC16</f>
        <v/>
      </c>
      <c r="AF16" s="70" t="n"/>
      <c r="AG16" s="70" t="n"/>
      <c r="AH16" s="93">
        <f>AG16/AF16</f>
        <v/>
      </c>
      <c r="AI16" s="70" t="n"/>
      <c r="AJ16" s="70" t="n"/>
      <c r="AK16" s="93">
        <f>AJ16/AI16</f>
        <v/>
      </c>
      <c r="AL16" s="70" t="n"/>
      <c r="AM16" s="70" t="n"/>
      <c r="AN16" s="93">
        <f>AM16/AL16</f>
        <v/>
      </c>
      <c r="AO16" s="70" t="n"/>
      <c r="AP16" s="70" t="n"/>
      <c r="AQ16" s="93">
        <f>AP16/AO16</f>
        <v/>
      </c>
      <c r="AR16" s="70" t="n"/>
      <c r="AS16" s="70">
        <f>AA16+AD16+AG16+AJ16+AM16+AP16</f>
        <v/>
      </c>
      <c r="AT16" s="93">
        <f>AS16/AR16</f>
        <v/>
      </c>
      <c r="AU16" s="70">
        <f>W16+AR16</f>
        <v/>
      </c>
      <c r="AV16" s="70">
        <f>X16+AS16</f>
        <v/>
      </c>
      <c r="AW16" s="98">
        <f>AV16/AU16</f>
        <v/>
      </c>
      <c r="BA16" s="54" t="n"/>
    </row>
    <row r="17" ht="40.05" customHeight="1" s="154">
      <c r="B17" s="212" t="inlineStr">
        <is>
          <t>小計</t>
        </is>
      </c>
      <c r="C17" s="206" t="n"/>
      <c r="D17" s="207" t="n"/>
      <c r="E17" s="81">
        <f>E14+E13</f>
        <v/>
      </c>
      <c r="F17" s="83">
        <f>F13+F14+F15+F16</f>
        <v/>
      </c>
      <c r="G17" s="93">
        <f>F17/E17</f>
        <v/>
      </c>
      <c r="H17" s="82">
        <f>H13+H14+H15+H16</f>
        <v/>
      </c>
      <c r="I17" s="83">
        <f>I16+I15+I14+I13</f>
        <v/>
      </c>
      <c r="J17" s="93">
        <f>I17/H17</f>
        <v/>
      </c>
      <c r="K17" s="83">
        <f>K13+K14+K15+K16</f>
        <v/>
      </c>
      <c r="L17" s="83">
        <f>L16+L15+L14+L13</f>
        <v/>
      </c>
      <c r="M17" s="93">
        <f>L17/K17</f>
        <v/>
      </c>
      <c r="N17" s="83">
        <f>N16+N15+N14+N13</f>
        <v/>
      </c>
      <c r="O17" s="83">
        <f>O16+O15+O14+O13</f>
        <v/>
      </c>
      <c r="P17" s="93">
        <f>O17/N17</f>
        <v/>
      </c>
      <c r="Q17" s="81">
        <f>Q16+Q15+Q14+Q13</f>
        <v/>
      </c>
      <c r="R17" s="83">
        <f>R16+R15+R14+R13</f>
        <v/>
      </c>
      <c r="S17" s="93">
        <f>R17/Q17</f>
        <v/>
      </c>
      <c r="T17" s="83">
        <f>T16+T15+T14+T13</f>
        <v/>
      </c>
      <c r="U17" s="83">
        <f>U16+U15+U14+U13</f>
        <v/>
      </c>
      <c r="V17" s="93">
        <f>U17/T17</f>
        <v/>
      </c>
      <c r="W17" s="83">
        <f>W16+W15+W14+W13</f>
        <v/>
      </c>
      <c r="X17" s="83">
        <f>X16+X15+X14+X13</f>
        <v/>
      </c>
      <c r="Y17" s="93">
        <f>X17/W17</f>
        <v/>
      </c>
      <c r="Z17" s="81">
        <f>Z16+Z15+Z14+Z13</f>
        <v/>
      </c>
      <c r="AA17" s="82">
        <f>AA16+AA15+AA14+AA13</f>
        <v/>
      </c>
      <c r="AB17" s="141">
        <f>AA17/Z17</f>
        <v/>
      </c>
      <c r="AC17" s="83">
        <f>AC16+AC15+AC14+AC13</f>
        <v/>
      </c>
      <c r="AD17" s="83">
        <f>AD16+AD15+AD14+AD13</f>
        <v/>
      </c>
      <c r="AE17" s="141">
        <f>AD17/AC17</f>
        <v/>
      </c>
      <c r="AF17" s="82">
        <f>AF16+AF15+AF14+AF13</f>
        <v/>
      </c>
      <c r="AG17" s="83">
        <f>AG16+AG15+AG14+AG13</f>
        <v/>
      </c>
      <c r="AH17" s="93">
        <f>AG17/AF17</f>
        <v/>
      </c>
      <c r="AI17" s="83">
        <f>AI16+AI15+AI14+AI13</f>
        <v/>
      </c>
      <c r="AJ17" s="83">
        <f>AJ16+AJ15+AJ14+AJ13</f>
        <v/>
      </c>
      <c r="AK17" s="93">
        <f>AJ17/AI17</f>
        <v/>
      </c>
      <c r="AL17" s="83">
        <f>AL16+AL15+AL14+AL13</f>
        <v/>
      </c>
      <c r="AM17" s="83">
        <f>AM16+AM15+AM14+AM13</f>
        <v/>
      </c>
      <c r="AN17" s="93">
        <f>AM17/AL17</f>
        <v/>
      </c>
      <c r="AO17" s="83">
        <f>AO16+AO15+AO14+AO13</f>
        <v/>
      </c>
      <c r="AP17" s="83">
        <f>AP16+AP15+AP14+AP13</f>
        <v/>
      </c>
      <c r="AQ17" s="93">
        <f>AP17/AO17</f>
        <v/>
      </c>
      <c r="AR17" s="83">
        <f>AR16+AR15+AR14+AR13</f>
        <v/>
      </c>
      <c r="AS17" s="83">
        <f>AS16+AS15+AS14+AS13</f>
        <v/>
      </c>
      <c r="AT17" s="93">
        <f>AS17/AR17</f>
        <v/>
      </c>
      <c r="AU17" s="83">
        <f>AU16+AU15+AU14+AU13</f>
        <v/>
      </c>
      <c r="AV17" s="83">
        <f>AV16+AV15+AV14+AV13</f>
        <v/>
      </c>
      <c r="AW17" s="98">
        <f>AV17/AU17</f>
        <v/>
      </c>
      <c r="AX17" s="191" t="n"/>
      <c r="AY17" s="191" t="n"/>
      <c r="BA17" s="54" t="n"/>
    </row>
    <row r="18" ht="40.05" customHeight="1" s="154">
      <c r="B18" s="218" t="inlineStr">
        <is>
          <t>外部小計</t>
        </is>
      </c>
      <c r="C18" s="188" t="n"/>
      <c r="D18" s="124" t="n"/>
      <c r="E18" s="130">
        <f>E17+E11</f>
        <v/>
      </c>
      <c r="F18" s="130">
        <f>F17+F11</f>
        <v/>
      </c>
      <c r="G18" s="142">
        <f>F18/E18</f>
        <v/>
      </c>
      <c r="H18" s="131">
        <f>H17+H11</f>
        <v/>
      </c>
      <c r="I18" s="131">
        <f>I17+I11</f>
        <v/>
      </c>
      <c r="J18" s="142">
        <f>I18/H18</f>
        <v/>
      </c>
      <c r="K18" s="123">
        <f>K17+K11</f>
        <v/>
      </c>
      <c r="L18" s="123">
        <f>L17+L11</f>
        <v/>
      </c>
      <c r="M18" s="142">
        <f>L18/K18</f>
        <v/>
      </c>
      <c r="N18" s="123">
        <f>N17+N11</f>
        <v/>
      </c>
      <c r="O18" s="123">
        <f>O17+O11</f>
        <v/>
      </c>
      <c r="P18" s="142">
        <f>O18/N18</f>
        <v/>
      </c>
      <c r="Q18" s="130">
        <f>Q17+Q11</f>
        <v/>
      </c>
      <c r="R18" s="130">
        <f>R17+R11</f>
        <v/>
      </c>
      <c r="S18" s="142">
        <f>R18/Q18</f>
        <v/>
      </c>
      <c r="T18" s="123">
        <f>T17+T11</f>
        <v/>
      </c>
      <c r="U18" s="123">
        <f>U17+U11</f>
        <v/>
      </c>
      <c r="V18" s="142">
        <f>U18/T18</f>
        <v/>
      </c>
      <c r="W18" s="123">
        <f>W17+W11</f>
        <v/>
      </c>
      <c r="X18" s="123">
        <f>X17+X11</f>
        <v/>
      </c>
      <c r="Y18" s="142">
        <f>X18/W18</f>
        <v/>
      </c>
      <c r="Z18" s="130">
        <f>Z17+Z11</f>
        <v/>
      </c>
      <c r="AA18" s="130">
        <f>AA17+AA11</f>
        <v/>
      </c>
      <c r="AB18" s="143">
        <f>AA18/Z18</f>
        <v/>
      </c>
      <c r="AC18" s="123">
        <f>AC17+AC11</f>
        <v/>
      </c>
      <c r="AD18" s="123">
        <f>AD17+AD11</f>
        <v/>
      </c>
      <c r="AE18" s="143">
        <f>AD18/AC18</f>
        <v/>
      </c>
      <c r="AF18" s="131">
        <f>AF17+AF11</f>
        <v/>
      </c>
      <c r="AG18" s="131">
        <f>AG17+AG11</f>
        <v/>
      </c>
      <c r="AH18" s="142">
        <f>AG18/AF18</f>
        <v/>
      </c>
      <c r="AI18" s="123">
        <f>AI17+AI11</f>
        <v/>
      </c>
      <c r="AJ18" s="123">
        <f>AJ17+AJ11</f>
        <v/>
      </c>
      <c r="AK18" s="142">
        <f>AJ18/AI18</f>
        <v/>
      </c>
      <c r="AL18" s="123">
        <f>AL17+AL11</f>
        <v/>
      </c>
      <c r="AM18" s="123">
        <f>AM17+AM11</f>
        <v/>
      </c>
      <c r="AN18" s="142">
        <f>AM18/AL18</f>
        <v/>
      </c>
      <c r="AO18" s="123">
        <f>AO17+AO11</f>
        <v/>
      </c>
      <c r="AP18" s="123">
        <f>AP17+AP11</f>
        <v/>
      </c>
      <c r="AQ18" s="142">
        <f>AP18/AO18</f>
        <v/>
      </c>
      <c r="AR18" s="123">
        <f>AR17+AR11</f>
        <v/>
      </c>
      <c r="AS18" s="123">
        <f>AS17+AS11</f>
        <v/>
      </c>
      <c r="AT18" s="142">
        <f>AS18/AR18</f>
        <v/>
      </c>
      <c r="AU18" s="123">
        <f>AU17+AU11</f>
        <v/>
      </c>
      <c r="AV18" s="123">
        <f>AV17+AV11</f>
        <v/>
      </c>
      <c r="AW18" s="144">
        <f>AV18/AU18</f>
        <v/>
      </c>
      <c r="AX18" s="191" t="n"/>
      <c r="AY18" s="191" t="n"/>
      <c r="BA18" s="54" t="n"/>
    </row>
    <row r="19" ht="40.05" customHeight="1" s="154">
      <c r="B19" s="213" t="inlineStr">
        <is>
          <t>内部紹介</t>
        </is>
      </c>
      <c r="C19" s="202" t="n"/>
      <c r="D19" s="203" t="n"/>
      <c r="E19" s="109" t="inlineStr">
        <is>
          <t>目標</t>
        </is>
      </c>
      <c r="F19" s="110" t="inlineStr">
        <is>
          <t>実績</t>
        </is>
      </c>
      <c r="G19" s="111" t="inlineStr">
        <is>
          <t>達成率</t>
        </is>
      </c>
      <c r="H19" s="112" t="inlineStr">
        <is>
          <t>目標</t>
        </is>
      </c>
      <c r="I19" s="113" t="inlineStr">
        <is>
          <t>実績</t>
        </is>
      </c>
      <c r="J19" s="111" t="inlineStr">
        <is>
          <t>達成率</t>
        </is>
      </c>
      <c r="K19" s="113" t="inlineStr">
        <is>
          <t>目標</t>
        </is>
      </c>
      <c r="L19" s="113" t="inlineStr">
        <is>
          <t>実績</t>
        </is>
      </c>
      <c r="M19" s="111" t="inlineStr">
        <is>
          <t>達成率</t>
        </is>
      </c>
      <c r="N19" s="113" t="inlineStr">
        <is>
          <t>目標</t>
        </is>
      </c>
      <c r="O19" s="113" t="inlineStr">
        <is>
          <t>実績</t>
        </is>
      </c>
      <c r="P19" s="111" t="inlineStr">
        <is>
          <t>達成率</t>
        </is>
      </c>
      <c r="Q19" s="109" t="inlineStr">
        <is>
          <t>目標</t>
        </is>
      </c>
      <c r="R19" s="113" t="inlineStr">
        <is>
          <t>実績</t>
        </is>
      </c>
      <c r="S19" s="111" t="inlineStr">
        <is>
          <t>達成率</t>
        </is>
      </c>
      <c r="T19" s="113" t="inlineStr">
        <is>
          <t>目標</t>
        </is>
      </c>
      <c r="U19" s="113" t="inlineStr">
        <is>
          <t>実績</t>
        </is>
      </c>
      <c r="V19" s="111" t="inlineStr">
        <is>
          <t>達成率</t>
        </is>
      </c>
      <c r="W19" s="113" t="inlineStr">
        <is>
          <t>目標</t>
        </is>
      </c>
      <c r="X19" s="113" t="inlineStr">
        <is>
          <t>実績</t>
        </is>
      </c>
      <c r="Y19" s="111" t="inlineStr">
        <is>
          <t>達成率</t>
        </is>
      </c>
      <c r="Z19" s="109" t="inlineStr">
        <is>
          <t>目標</t>
        </is>
      </c>
      <c r="AA19" s="113" t="inlineStr">
        <is>
          <t>実績</t>
        </is>
      </c>
      <c r="AB19" s="111" t="inlineStr">
        <is>
          <t>達成率</t>
        </is>
      </c>
      <c r="AC19" s="113" t="inlineStr">
        <is>
          <t>目標</t>
        </is>
      </c>
      <c r="AD19" s="113" t="inlineStr">
        <is>
          <t>実績</t>
        </is>
      </c>
      <c r="AE19" s="111" t="inlineStr">
        <is>
          <t>達成率</t>
        </is>
      </c>
      <c r="AF19" s="113" t="inlineStr">
        <is>
          <t>目標</t>
        </is>
      </c>
      <c r="AG19" s="113" t="inlineStr">
        <is>
          <t>実績</t>
        </is>
      </c>
      <c r="AH19" s="111" t="inlineStr">
        <is>
          <t>達成率</t>
        </is>
      </c>
      <c r="AI19" s="113" t="inlineStr">
        <is>
          <t>目標</t>
        </is>
      </c>
      <c r="AJ19" s="113" t="inlineStr">
        <is>
          <t>実績</t>
        </is>
      </c>
      <c r="AK19" s="111" t="inlineStr">
        <is>
          <t>達成率</t>
        </is>
      </c>
      <c r="AL19" s="113" t="inlineStr">
        <is>
          <t>目標</t>
        </is>
      </c>
      <c r="AM19" s="113" t="inlineStr">
        <is>
          <t>実績</t>
        </is>
      </c>
      <c r="AN19" s="111" t="inlineStr">
        <is>
          <t>達成率</t>
        </is>
      </c>
      <c r="AO19" s="113" t="inlineStr">
        <is>
          <t>目標</t>
        </is>
      </c>
      <c r="AP19" s="113" t="inlineStr">
        <is>
          <t>実績</t>
        </is>
      </c>
      <c r="AQ19" s="111" t="inlineStr">
        <is>
          <t>達成率</t>
        </is>
      </c>
      <c r="AR19" s="113" t="inlineStr">
        <is>
          <t>目標</t>
        </is>
      </c>
      <c r="AS19" s="113" t="inlineStr">
        <is>
          <t>実績</t>
        </is>
      </c>
      <c r="AT19" s="111" t="inlineStr">
        <is>
          <t>達成率</t>
        </is>
      </c>
      <c r="AU19" s="113" t="inlineStr">
        <is>
          <t>目標</t>
        </is>
      </c>
      <c r="AV19" s="113" t="inlineStr">
        <is>
          <t>実績</t>
        </is>
      </c>
      <c r="AW19" s="111" t="inlineStr">
        <is>
          <t>達成率</t>
        </is>
      </c>
      <c r="AX19" s="191" t="n"/>
      <c r="AY19" s="191" t="n"/>
      <c r="BA19" s="54" t="n"/>
    </row>
    <row r="20" ht="40.05" customHeight="1" s="154">
      <c r="B20" s="214" t="inlineStr">
        <is>
          <t>技人国　　　　　　　　　　　　　　　　　　　　　N１／３０％　N2／２０％　N3／１５％</t>
        </is>
      </c>
      <c r="C20" s="199" t="n"/>
      <c r="D20" s="200" t="n"/>
      <c r="E20" s="74" t="n"/>
      <c r="F20" s="67" t="n"/>
      <c r="G20" s="93">
        <f>F20/E20</f>
        <v/>
      </c>
      <c r="H20" s="71" t="n"/>
      <c r="I20" s="67" t="n">
        <v>400</v>
      </c>
      <c r="J20" s="93">
        <f>I20/H20</f>
        <v/>
      </c>
      <c r="K20" s="67" t="n"/>
      <c r="L20" s="67" t="n">
        <v>800</v>
      </c>
      <c r="M20" s="93">
        <f>L20/K20</f>
        <v/>
      </c>
      <c r="N20" s="67" t="n"/>
      <c r="O20" s="67" t="n"/>
      <c r="P20" s="93">
        <f>O20/N20</f>
        <v/>
      </c>
      <c r="Q20" s="74" t="n"/>
      <c r="R20" s="67" t="n">
        <v>0</v>
      </c>
      <c r="S20" s="93">
        <f>R20/Q20</f>
        <v/>
      </c>
      <c r="T20" s="67" t="n"/>
      <c r="U20" s="67" t="n">
        <v>0</v>
      </c>
      <c r="V20" s="93">
        <f>U20/T20</f>
        <v/>
      </c>
      <c r="W20" s="67">
        <f>E20+H20+K20+N20+Q20+T20</f>
        <v/>
      </c>
      <c r="X20" s="67">
        <f>F20+I20+L20+O20+R20+U20</f>
        <v/>
      </c>
      <c r="Y20" s="93">
        <f>X20/W20</f>
        <v/>
      </c>
      <c r="Z20" s="74" t="n"/>
      <c r="AA20" s="67" t="n">
        <v>0</v>
      </c>
      <c r="AB20" s="93">
        <f>AA20/Z20</f>
        <v/>
      </c>
      <c r="AC20" s="67" t="n"/>
      <c r="AD20" s="67" t="n">
        <v>0</v>
      </c>
      <c r="AE20" s="93">
        <f>AD20/AC20</f>
        <v/>
      </c>
      <c r="AF20" s="67" t="n"/>
      <c r="AG20" s="67" t="n"/>
      <c r="AH20" s="93">
        <f>AG20/AF20</f>
        <v/>
      </c>
      <c r="AI20" s="67" t="n"/>
      <c r="AJ20" s="67" t="n"/>
      <c r="AK20" s="93">
        <f>AJ20/AI20</f>
        <v/>
      </c>
      <c r="AL20" s="67" t="n"/>
      <c r="AM20" s="67" t="n"/>
      <c r="AN20" s="93">
        <f>AM20/AL20</f>
        <v/>
      </c>
      <c r="AO20" s="67" t="n"/>
      <c r="AP20" s="67" t="n"/>
      <c r="AQ20" s="93">
        <f>AP20/AO20</f>
        <v/>
      </c>
      <c r="AR20" s="67">
        <f>Z20+AC20+AF20+AI20+AL20+AO20</f>
        <v/>
      </c>
      <c r="AS20" s="67">
        <f>AA20+AD20+AG20+AJ20+AM20+AP20</f>
        <v/>
      </c>
      <c r="AT20" s="93">
        <f>AS20/AR20</f>
        <v/>
      </c>
      <c r="AU20" s="67">
        <f>W20+AR20</f>
        <v/>
      </c>
      <c r="AV20" s="67">
        <f>X20+AS20</f>
        <v/>
      </c>
      <c r="AW20" s="98">
        <f>AV20/AU20</f>
        <v/>
      </c>
      <c r="AX20" s="191" t="n"/>
      <c r="AY20" s="191" t="n"/>
      <c r="BA20" s="54" t="n"/>
    </row>
    <row r="21" ht="40.05" customHeight="1" s="154">
      <c r="B21" s="198" t="inlineStr">
        <is>
          <t>特定技能（一律２0万）✕　〇人</t>
        </is>
      </c>
      <c r="C21" s="199" t="n"/>
      <c r="D21" s="200" t="n"/>
      <c r="E21" s="74" t="n">
        <v>3000</v>
      </c>
      <c r="F21" s="67" t="n">
        <v>800</v>
      </c>
      <c r="G21" s="93">
        <f>F21/E21</f>
        <v/>
      </c>
      <c r="H21" s="71" t="n">
        <v>3000</v>
      </c>
      <c r="I21" s="67" t="n">
        <v>2400</v>
      </c>
      <c r="J21" s="93">
        <f>I21/H21</f>
        <v/>
      </c>
      <c r="K21" s="67" t="n">
        <v>3000</v>
      </c>
      <c r="L21" s="67" t="n">
        <v>2400</v>
      </c>
      <c r="M21" s="93">
        <f>L21/K21</f>
        <v/>
      </c>
      <c r="N21" s="67" t="n">
        <v>3000</v>
      </c>
      <c r="O21" s="67" t="n">
        <v>1000</v>
      </c>
      <c r="P21" s="93">
        <f>O21/N21</f>
        <v/>
      </c>
      <c r="Q21" s="74" t="n">
        <v>3000</v>
      </c>
      <c r="R21" s="67" t="n">
        <v>600</v>
      </c>
      <c r="S21" s="93">
        <f>R21/Q21</f>
        <v/>
      </c>
      <c r="T21" s="67" t="n">
        <v>3000</v>
      </c>
      <c r="U21" s="67" t="n">
        <v>1200</v>
      </c>
      <c r="V21" s="93">
        <f>U21/T21</f>
        <v/>
      </c>
      <c r="W21" s="67">
        <f>E21+H21+K21+N21+Q21+T21</f>
        <v/>
      </c>
      <c r="X21" s="67">
        <f>F21+I21+L21+O21+R21+U21</f>
        <v/>
      </c>
      <c r="Y21" s="93">
        <f>X21/W21</f>
        <v/>
      </c>
      <c r="Z21" s="74" t="n">
        <v>3000</v>
      </c>
      <c r="AA21" s="67" t="n">
        <v>800</v>
      </c>
      <c r="AB21" s="93">
        <f>AA21/Z21</f>
        <v/>
      </c>
      <c r="AC21" s="67" t="n">
        <v>3000</v>
      </c>
      <c r="AD21" s="67" t="n">
        <v>1400</v>
      </c>
      <c r="AE21" s="93">
        <f>AD21/AC21</f>
        <v/>
      </c>
      <c r="AF21" s="67" t="n">
        <v>3000</v>
      </c>
      <c r="AG21" s="67" t="n"/>
      <c r="AH21" s="93">
        <f>AG21/AF21</f>
        <v/>
      </c>
      <c r="AI21" s="67" t="n">
        <v>3000</v>
      </c>
      <c r="AJ21" s="67" t="n"/>
      <c r="AK21" s="93">
        <f>AJ21/AI21</f>
        <v/>
      </c>
      <c r="AL21" s="67" t="n">
        <v>3000</v>
      </c>
      <c r="AM21" s="67" t="n"/>
      <c r="AN21" s="93">
        <f>AM21/AL21</f>
        <v/>
      </c>
      <c r="AO21" s="67" t="n">
        <v>3000</v>
      </c>
      <c r="AP21" s="67" t="n"/>
      <c r="AQ21" s="93">
        <f>AP21/AO21</f>
        <v/>
      </c>
      <c r="AR21" s="67">
        <f>Z21+AC21+AF21+AI21+AL21+AO21</f>
        <v/>
      </c>
      <c r="AS21" s="67">
        <f>AA21+AD21+AG21+AJ21+AM21+AP21</f>
        <v/>
      </c>
      <c r="AT21" s="93">
        <f>AS21/AR21</f>
        <v/>
      </c>
      <c r="AU21" s="67">
        <f>W21+AR21</f>
        <v/>
      </c>
      <c r="AV21" s="67">
        <f>X21+AS21</f>
        <v/>
      </c>
      <c r="AW21" s="98">
        <f>AV21/AU21</f>
        <v/>
      </c>
      <c r="AX21" s="191" t="n"/>
      <c r="AY21" s="191" t="n"/>
      <c r="BA21" s="54" t="n"/>
    </row>
    <row r="22" ht="40.05" customHeight="1" s="154">
      <c r="B22" s="198" t="inlineStr">
        <is>
          <t>アルバイト(3万円／人）</t>
        </is>
      </c>
      <c r="C22" s="199" t="n"/>
      <c r="D22" s="200" t="n"/>
      <c r="E22" s="74" t="n"/>
      <c r="F22" s="67" t="n">
        <v>720</v>
      </c>
      <c r="G22" s="93">
        <f>F22/E22</f>
        <v/>
      </c>
      <c r="H22" s="71" t="n"/>
      <c r="I22" s="67" t="n">
        <v>390</v>
      </c>
      <c r="J22" s="93">
        <f>I22/H22</f>
        <v/>
      </c>
      <c r="K22" s="67" t="n"/>
      <c r="L22" s="67" t="n">
        <v>450</v>
      </c>
      <c r="M22" s="93">
        <f>L22/K22</f>
        <v/>
      </c>
      <c r="N22" s="67" t="n"/>
      <c r="O22" s="67" t="n">
        <v>210</v>
      </c>
      <c r="P22" s="93">
        <f>O22/N22</f>
        <v/>
      </c>
      <c r="Q22" s="74" t="n"/>
      <c r="R22" s="67" t="n">
        <v>870</v>
      </c>
      <c r="S22" s="93">
        <f>R22/Q22</f>
        <v/>
      </c>
      <c r="T22" s="67" t="n"/>
      <c r="U22" s="67" t="n">
        <v>630</v>
      </c>
      <c r="V22" s="93">
        <f>U22/T22</f>
        <v/>
      </c>
      <c r="W22" s="67">
        <f>E22+H22+K22+N22+Q22+T22</f>
        <v/>
      </c>
      <c r="X22" s="67">
        <f>F22+I22+L22+O22+R22+U22</f>
        <v/>
      </c>
      <c r="Y22" s="93">
        <f>X22/W22</f>
        <v/>
      </c>
      <c r="Z22" s="74" t="n"/>
      <c r="AA22" s="67" t="n">
        <v>390</v>
      </c>
      <c r="AB22" s="93">
        <f>AA22/Z22</f>
        <v/>
      </c>
      <c r="AC22" s="67" t="n"/>
      <c r="AD22" s="67" t="n">
        <v>300</v>
      </c>
      <c r="AE22" s="93">
        <f>AD22/AC22</f>
        <v/>
      </c>
      <c r="AF22" s="67" t="n"/>
      <c r="AG22" s="67" t="n"/>
      <c r="AH22" s="93">
        <f>AG22/AF22</f>
        <v/>
      </c>
      <c r="AI22" s="67" t="n"/>
      <c r="AJ22" s="67" t="n"/>
      <c r="AK22" s="93">
        <f>AJ22/AI22</f>
        <v/>
      </c>
      <c r="AL22" s="67" t="n"/>
      <c r="AM22" s="67" t="n"/>
      <c r="AN22" s="93">
        <f>AM22/AL22</f>
        <v/>
      </c>
      <c r="AO22" s="67" t="n"/>
      <c r="AP22" s="67" t="n"/>
      <c r="AQ22" s="93">
        <f>AP22/AO22</f>
        <v/>
      </c>
      <c r="AR22" s="67">
        <f>Z22+AC22+AF22+AI22+AL22+AO22</f>
        <v/>
      </c>
      <c r="AS22" s="67">
        <f>AA22+AD22+AG22+AJ22+AM22+AP22</f>
        <v/>
      </c>
      <c r="AT22" s="93">
        <f>AS22/AR22</f>
        <v/>
      </c>
      <c r="AU22" s="67">
        <f>W22+AR22</f>
        <v/>
      </c>
      <c r="AV22" s="67">
        <f>X22+AS22</f>
        <v/>
      </c>
      <c r="AW22" s="98">
        <f>AV22/AU22</f>
        <v/>
      </c>
      <c r="AX22" s="191" t="n"/>
      <c r="AY22" s="191" t="n"/>
      <c r="BA22" s="54" t="n"/>
    </row>
    <row r="23" ht="40.05" customHeight="1" s="154">
      <c r="B23" s="215" t="inlineStr">
        <is>
          <t>支援人数(1万円／人）</t>
        </is>
      </c>
      <c r="C23" s="216" t="n"/>
      <c r="D23" s="217" t="n"/>
      <c r="E23" s="74" t="n">
        <v>1500</v>
      </c>
      <c r="F23" s="67" t="n">
        <v>1600</v>
      </c>
      <c r="G23" s="93">
        <f>F23/E23</f>
        <v/>
      </c>
      <c r="H23" s="71" t="n">
        <v>1500</v>
      </c>
      <c r="I23" s="67" t="n">
        <v>1680</v>
      </c>
      <c r="J23" s="93">
        <f>I23/H23</f>
        <v/>
      </c>
      <c r="K23" s="67" t="n">
        <v>1500</v>
      </c>
      <c r="L23" s="67" t="n">
        <v>1690</v>
      </c>
      <c r="M23" s="93">
        <f>L23/K23</f>
        <v/>
      </c>
      <c r="N23" s="67" t="n">
        <v>1500</v>
      </c>
      <c r="O23" s="67" t="n">
        <v>1730</v>
      </c>
      <c r="P23" s="93">
        <f>O23/N23</f>
        <v/>
      </c>
      <c r="Q23" s="74" t="n">
        <v>1500</v>
      </c>
      <c r="R23" s="67" t="n">
        <v>1770</v>
      </c>
      <c r="S23" s="93">
        <f>R23/Q23</f>
        <v/>
      </c>
      <c r="T23" s="67" t="n">
        <v>1500</v>
      </c>
      <c r="U23" s="67" t="n">
        <v>1800</v>
      </c>
      <c r="V23" s="93">
        <f>U23/T23</f>
        <v/>
      </c>
      <c r="W23" s="67">
        <f>E23+H23+K23+N23+Q23+T23</f>
        <v/>
      </c>
      <c r="X23" s="67">
        <f>F23+I23+L23+O23+R23+U23</f>
        <v/>
      </c>
      <c r="Y23" s="93">
        <f>X23/W23</f>
        <v/>
      </c>
      <c r="Z23" s="74" t="n">
        <v>1500</v>
      </c>
      <c r="AA23" s="67" t="n">
        <v>1830</v>
      </c>
      <c r="AB23" s="93">
        <f>AA23/Z23</f>
        <v/>
      </c>
      <c r="AC23" s="67" t="n">
        <v>1500</v>
      </c>
      <c r="AD23" s="67" t="n">
        <v>1930</v>
      </c>
      <c r="AE23" s="93">
        <f>AD23/AC23</f>
        <v/>
      </c>
      <c r="AF23" s="67" t="n">
        <v>1500</v>
      </c>
      <c r="AG23" s="67" t="n"/>
      <c r="AH23" s="93">
        <f>AG23/AF23</f>
        <v/>
      </c>
      <c r="AI23" s="67" t="n">
        <v>1500</v>
      </c>
      <c r="AJ23" s="67" t="n"/>
      <c r="AK23" s="93">
        <f>AJ23/AI23</f>
        <v/>
      </c>
      <c r="AL23" s="67" t="n">
        <v>1500</v>
      </c>
      <c r="AM23" s="67" t="n"/>
      <c r="AN23" s="93">
        <f>AM23/AL23</f>
        <v/>
      </c>
      <c r="AO23" s="67" t="n">
        <v>1500</v>
      </c>
      <c r="AP23" s="67" t="n"/>
      <c r="AQ23" s="93">
        <f>AP23/AO23</f>
        <v/>
      </c>
      <c r="AR23" s="67">
        <f>Z23+AC23+AF23+AI23+AL23+AO23</f>
        <v/>
      </c>
      <c r="AS23" s="67">
        <f>AA23+AD23+AG23+AJ23+AM23+AP23</f>
        <v/>
      </c>
      <c r="AT23" s="93">
        <f>AS23/AR23</f>
        <v/>
      </c>
      <c r="AU23" s="67">
        <f>W23+AR23</f>
        <v/>
      </c>
      <c r="AV23" s="67">
        <f>X23+AS23</f>
        <v/>
      </c>
      <c r="AW23" s="98">
        <f>AV23/AU23</f>
        <v/>
      </c>
      <c r="AX23" s="191" t="n"/>
      <c r="AY23" s="191" t="n"/>
      <c r="BA23" s="54" t="n"/>
    </row>
    <row r="24" ht="40.05" customHeight="1" s="154" thickBot="1">
      <c r="B24" s="209" t="inlineStr">
        <is>
          <t>小計</t>
        </is>
      </c>
      <c r="C24" s="187" t="n"/>
      <c r="D24" s="188" t="n"/>
      <c r="E24" s="99">
        <f>SUM(E20:E23)</f>
        <v/>
      </c>
      <c r="F24" s="91">
        <f>SUM(F20:F23)</f>
        <v/>
      </c>
      <c r="G24" s="88">
        <f>F24/E24</f>
        <v/>
      </c>
      <c r="H24" s="82">
        <f>SUM(H20:H23)</f>
        <v/>
      </c>
      <c r="I24" s="122">
        <f>I23+I22+I21+I20</f>
        <v/>
      </c>
      <c r="J24" s="88">
        <f>I24/H24</f>
        <v/>
      </c>
      <c r="K24" s="83">
        <f>SUM(K20:K23)</f>
        <v/>
      </c>
      <c r="L24" s="83">
        <f>SUM(L20:L23)</f>
        <v/>
      </c>
      <c r="M24" s="88">
        <f>L24/K24</f>
        <v/>
      </c>
      <c r="N24" s="83">
        <f>SUM(N20:N23)</f>
        <v/>
      </c>
      <c r="O24" s="87">
        <f>SUM(O20:O23)</f>
        <v/>
      </c>
      <c r="P24" s="88">
        <f>O24/N24</f>
        <v/>
      </c>
      <c r="Q24" s="115">
        <f>SUM(Q20:Q23)</f>
        <v/>
      </c>
      <c r="R24" s="116">
        <f>SUM(R20:R23)</f>
        <v/>
      </c>
      <c r="S24" s="117">
        <f>R24/Q24</f>
        <v/>
      </c>
      <c r="T24" s="100">
        <f>SUM(T20:T23)</f>
        <v/>
      </c>
      <c r="U24" s="83">
        <f>SUM(U20:U23)</f>
        <v/>
      </c>
      <c r="V24" s="88">
        <f>U24/T24</f>
        <v/>
      </c>
      <c r="W24" s="82">
        <f>SUM(W20:W23)</f>
        <v/>
      </c>
      <c r="X24" s="83">
        <f>SUM(X20:X23)</f>
        <v/>
      </c>
      <c r="Y24" s="101">
        <f>X24/W24</f>
        <v/>
      </c>
      <c r="Z24" s="118">
        <f>SUM(Z20:Z23)</f>
        <v/>
      </c>
      <c r="AA24" s="116">
        <f>SUM(AA20:AA23)</f>
        <v/>
      </c>
      <c r="AB24" s="117">
        <f>AA24/Z24</f>
        <v/>
      </c>
      <c r="AC24" s="83">
        <f>SUM(AC20:AC23)</f>
        <v/>
      </c>
      <c r="AD24" s="83">
        <f>SUM(AD20:AD23)</f>
        <v/>
      </c>
      <c r="AE24" s="88">
        <f>AD24/AC24</f>
        <v/>
      </c>
      <c r="AF24" s="83">
        <f>SUM(AF20:AF23)</f>
        <v/>
      </c>
      <c r="AG24" s="83">
        <f>SUM(AG20:AG23)</f>
        <v/>
      </c>
      <c r="AH24" s="88">
        <f>AG24/AF24</f>
        <v/>
      </c>
      <c r="AI24" s="83">
        <f>SUM(AI20:AI23)</f>
        <v/>
      </c>
      <c r="AJ24" s="83">
        <f>SUM(AJ20:AJ23)</f>
        <v/>
      </c>
      <c r="AK24" s="88">
        <f>AJ24/AI24</f>
        <v/>
      </c>
      <c r="AL24" s="83">
        <f>SUM(AL20:AL23)</f>
        <v/>
      </c>
      <c r="AM24" s="83">
        <f>SUM(AM20:AM23)</f>
        <v/>
      </c>
      <c r="AN24" s="88">
        <f>AM24/AL24</f>
        <v/>
      </c>
      <c r="AO24" s="83">
        <f>SUM(AO20:AO23)</f>
        <v/>
      </c>
      <c r="AP24" s="83">
        <f>SUM(AP20:AP23)</f>
        <v/>
      </c>
      <c r="AQ24" s="88">
        <f>AP24/AO24</f>
        <v/>
      </c>
      <c r="AR24" s="83">
        <f>SUM(AR20:AR23)</f>
        <v/>
      </c>
      <c r="AS24" s="83">
        <f>SUM(AS20:AS23)</f>
        <v/>
      </c>
      <c r="AT24" s="101">
        <f>AS24/AR24</f>
        <v/>
      </c>
      <c r="AU24" s="83">
        <f>SUM(AU20:AU23)</f>
        <v/>
      </c>
      <c r="AV24" s="83">
        <f>SUM(AV23+AV22+AV21+AV20)</f>
        <v/>
      </c>
      <c r="AW24" s="102">
        <f>AV24/AU24</f>
        <v/>
      </c>
    </row>
    <row r="25" ht="141.75" customFormat="1" customHeight="1" s="181">
      <c r="A25" s="64" t="n"/>
      <c r="O25" s="80" t="n"/>
      <c r="AU25" s="129" t="n"/>
      <c r="AV25" s="129" t="n"/>
      <c r="AW25" s="129" t="n"/>
    </row>
    <row r="26" ht="80.25" customHeight="1" s="154">
      <c r="B26" s="210" t="n"/>
      <c r="C26" s="210" t="n"/>
      <c r="D26" s="210" t="n"/>
      <c r="E26" s="210" t="n"/>
      <c r="G26" s="210" t="n"/>
      <c r="H26" s="210" t="n"/>
      <c r="I26" s="210" t="n"/>
      <c r="J26" s="210" t="n"/>
      <c r="K26" s="210" t="n"/>
      <c r="L26" s="210" t="n"/>
      <c r="M26" s="210" t="n"/>
      <c r="N26" s="210" t="n"/>
      <c r="O26" s="210" t="n"/>
      <c r="P26" s="210" t="n"/>
      <c r="Q26" s="210" t="n"/>
      <c r="R26" s="210" t="n"/>
      <c r="S26" s="210" t="n"/>
      <c r="T26" s="210" t="n"/>
      <c r="U26" s="210" t="n"/>
      <c r="V26" s="210" t="n"/>
      <c r="W26" s="210" t="n"/>
      <c r="X26" s="210" t="n"/>
      <c r="Y26" s="210" t="n"/>
      <c r="Z26" s="210" t="n"/>
      <c r="AA26" s="210" t="n"/>
      <c r="AB26" s="210" t="n"/>
      <c r="AC26" s="210" t="n"/>
      <c r="AD26" s="210" t="n"/>
      <c r="AE26" s="210" t="n"/>
      <c r="AF26" s="210" t="n"/>
      <c r="AG26" s="210" t="n"/>
      <c r="AH26" s="210" t="n"/>
      <c r="AI26" s="210" t="n"/>
      <c r="AJ26" s="210" t="n"/>
      <c r="AK26" s="210" t="n"/>
      <c r="AL26" s="210" t="n"/>
      <c r="AM26" s="210" t="n"/>
      <c r="AN26" s="210" t="n"/>
      <c r="AO26" s="210" t="n"/>
      <c r="AP26" s="210" t="n"/>
      <c r="AQ26" s="210" t="n"/>
      <c r="AR26" s="210" t="n"/>
      <c r="AS26" s="210" t="n"/>
      <c r="AT26" s="210" t="n"/>
      <c r="AU26" s="210" t="n"/>
      <c r="AV26" s="210" t="n"/>
      <c r="AW26" s="210" t="n"/>
    </row>
    <row r="27" ht="20.25" customFormat="1" customHeight="1" s="192">
      <c r="A27" s="54" t="n"/>
      <c r="B27" s="55" t="n"/>
      <c r="E27" s="191" t="n"/>
      <c r="F27" s="191" t="n"/>
      <c r="G27" s="191" t="n"/>
      <c r="H27" s="191" t="n"/>
      <c r="I27" s="211" t="n"/>
      <c r="J27" s="191" t="n"/>
      <c r="K27" s="211" t="n"/>
      <c r="L27" s="191" t="n"/>
      <c r="M27" s="191" t="n"/>
      <c r="N27" s="191" t="n"/>
      <c r="O27" s="191" t="n"/>
      <c r="P27" s="191" t="n"/>
      <c r="Q27" s="191" t="n"/>
      <c r="R27" s="191" t="n"/>
      <c r="S27" s="191" t="n"/>
      <c r="T27" s="191" t="n"/>
      <c r="U27" s="191" t="n"/>
      <c r="V27" s="191" t="n"/>
      <c r="W27" s="191" t="n"/>
      <c r="X27" s="191" t="n"/>
      <c r="Y27" s="211" t="n"/>
      <c r="Z27" s="191" t="n"/>
      <c r="AA27" s="191" t="n"/>
      <c r="AB27" s="191" t="n"/>
      <c r="AC27" s="191" t="n"/>
      <c r="AD27" s="211" t="n"/>
      <c r="AE27" s="191" t="n"/>
      <c r="AF27" s="211" t="n"/>
      <c r="AG27" s="191" t="n"/>
      <c r="AH27" s="191" t="n"/>
      <c r="AI27" s="191" t="n"/>
      <c r="AJ27" s="191" t="n"/>
      <c r="AK27" s="191" t="n"/>
      <c r="AL27" s="191" t="n"/>
      <c r="AM27" s="191" t="n"/>
      <c r="AN27" s="191" t="n"/>
      <c r="AO27" s="191" t="n"/>
      <c r="AP27" s="191" t="n"/>
      <c r="AQ27" s="191" t="n"/>
      <c r="AR27" s="191" t="n"/>
      <c r="AS27" s="191" t="n"/>
      <c r="AT27" s="211" t="n"/>
      <c r="AU27" s="191" t="n"/>
      <c r="AV27" s="191" t="n"/>
      <c r="AW27" s="66" t="n"/>
      <c r="BB27" s="59" t="n"/>
      <c r="BC27" s="59" t="n"/>
      <c r="BD27" s="59" t="n"/>
      <c r="BE27" s="59" t="n"/>
      <c r="BF27" s="59" t="n"/>
      <c r="BG27" s="59" t="n"/>
    </row>
    <row r="28" ht="20.25" customFormat="1" customHeight="1" s="192">
      <c r="A28" s="54" t="n"/>
      <c r="B28" s="55" t="n"/>
      <c r="E28" s="191" t="n"/>
      <c r="F28" s="191" t="n"/>
      <c r="G28" s="191" t="n"/>
      <c r="H28" s="191" t="n"/>
      <c r="I28" s="211" t="n"/>
      <c r="J28" s="191" t="n"/>
      <c r="K28" s="211" t="n"/>
      <c r="L28" s="191" t="n"/>
      <c r="M28" s="191" t="n"/>
      <c r="N28" s="191" t="n"/>
      <c r="O28" s="191" t="n"/>
      <c r="P28" s="191" t="n"/>
      <c r="Q28" s="191" t="n"/>
      <c r="R28" s="191" t="n"/>
      <c r="S28" s="191" t="n"/>
      <c r="T28" s="191" t="n"/>
      <c r="U28" s="191" t="n"/>
      <c r="V28" s="191" t="n"/>
      <c r="W28" s="191" t="n"/>
      <c r="X28" s="191" t="n"/>
      <c r="Y28" s="211" t="n"/>
      <c r="Z28" s="191" t="n"/>
      <c r="AA28" s="191" t="n"/>
      <c r="AB28" s="191" t="n"/>
      <c r="AC28" s="191" t="n"/>
      <c r="AD28" s="211" t="n"/>
      <c r="AE28" s="191" t="n"/>
      <c r="AF28" s="211" t="n"/>
      <c r="AG28" s="191" t="n"/>
      <c r="AH28" s="191" t="n"/>
      <c r="AI28" s="191" t="n"/>
      <c r="AJ28" s="191" t="n"/>
      <c r="AK28" s="191" t="n"/>
      <c r="AL28" s="191" t="n"/>
      <c r="AM28" s="191" t="n"/>
      <c r="AN28" s="191" t="n"/>
      <c r="AO28" s="191" t="n"/>
      <c r="AP28" s="191" t="n"/>
      <c r="AQ28" s="191" t="n"/>
      <c r="AR28" s="191" t="n"/>
      <c r="AS28" s="191" t="n"/>
      <c r="AT28" s="211" t="n"/>
      <c r="AU28" s="191" t="n"/>
      <c r="AV28" s="191" t="n"/>
      <c r="AW28" s="66" t="n"/>
      <c r="BB28" s="59" t="n"/>
      <c r="BC28" s="59" t="n"/>
      <c r="BD28" s="59" t="n"/>
      <c r="BE28" s="59" t="n"/>
      <c r="BF28" s="59" t="n"/>
      <c r="BG28" s="59" t="n"/>
    </row>
    <row r="29" ht="20.25" customFormat="1" customHeight="1" s="192">
      <c r="A29" s="54" t="n"/>
      <c r="B29" s="55" t="n"/>
      <c r="E29" s="191" t="n"/>
      <c r="F29" s="191" t="n"/>
      <c r="G29" s="191" t="n"/>
      <c r="H29" s="191" t="n"/>
      <c r="I29" s="211" t="n"/>
      <c r="J29" s="191" t="n"/>
      <c r="K29" s="211" t="n"/>
      <c r="L29" s="211" t="n"/>
      <c r="M29" s="191" t="n"/>
      <c r="N29" s="211" t="n"/>
      <c r="O29" s="211" t="n"/>
      <c r="P29" s="191" t="n"/>
      <c r="Q29" s="211" t="n"/>
      <c r="R29" s="211" t="n"/>
      <c r="S29" s="191" t="n"/>
      <c r="T29" s="211" t="n"/>
      <c r="U29" s="211" t="n"/>
      <c r="V29" s="191" t="n"/>
      <c r="W29" s="211" t="n"/>
      <c r="X29" s="211" t="n"/>
      <c r="Y29" s="211" t="n"/>
      <c r="Z29" s="191" t="n"/>
      <c r="AA29" s="191" t="n"/>
      <c r="AB29" s="191" t="n"/>
      <c r="AC29" s="191" t="n"/>
      <c r="AD29" s="211" t="n"/>
      <c r="AE29" s="191" t="n"/>
      <c r="AF29" s="211" t="n"/>
      <c r="AG29" s="211" t="n"/>
      <c r="AH29" s="191" t="n"/>
      <c r="AI29" s="211" t="n"/>
      <c r="AJ29" s="211" t="n"/>
      <c r="AK29" s="191" t="n"/>
      <c r="AL29" s="211" t="n"/>
      <c r="AM29" s="211" t="n"/>
      <c r="AN29" s="191" t="n"/>
      <c r="AO29" s="211" t="n"/>
      <c r="AP29" s="211" t="n"/>
      <c r="AQ29" s="191" t="n"/>
      <c r="AR29" s="211" t="n"/>
      <c r="AS29" s="211" t="n"/>
      <c r="AT29" s="211" t="n"/>
      <c r="AU29" s="211" t="n"/>
      <c r="AV29" s="211" t="n"/>
      <c r="AW29" s="66" t="n"/>
      <c r="BB29" s="59" t="n"/>
      <c r="BC29" s="59" t="n"/>
      <c r="BD29" s="59" t="n"/>
      <c r="BE29" s="59" t="n"/>
      <c r="BF29" s="59" t="n"/>
      <c r="BG29" s="59" t="n"/>
    </row>
    <row r="30" ht="20.25" customFormat="1" customHeight="1" s="192">
      <c r="A30" s="54" t="n"/>
      <c r="B30" s="55" t="n"/>
      <c r="C30" s="56" t="n"/>
      <c r="D30" s="56" t="n"/>
      <c r="E30" s="211" t="n"/>
      <c r="F30" s="211" t="n"/>
      <c r="G30" s="211" t="n"/>
      <c r="H30" s="211" t="n"/>
      <c r="I30" s="211" t="n"/>
      <c r="J30" s="211" t="n"/>
      <c r="K30" s="211" t="n"/>
      <c r="L30" s="211" t="n"/>
      <c r="M30" s="211" t="n"/>
      <c r="N30" s="211" t="n"/>
      <c r="O30" s="211" t="n"/>
      <c r="P30" s="211" t="n"/>
      <c r="Q30" s="211" t="n"/>
      <c r="R30" s="211" t="n"/>
      <c r="S30" s="211" t="n"/>
      <c r="T30" s="211" t="n"/>
      <c r="U30" s="211" t="n"/>
      <c r="V30" s="211" t="n"/>
      <c r="W30" s="211" t="n"/>
      <c r="X30" s="211" t="n"/>
      <c r="Y30" s="211" t="n"/>
      <c r="Z30" s="211" t="n"/>
      <c r="AA30" s="211" t="n"/>
      <c r="AB30" s="211" t="n"/>
      <c r="AC30" s="211" t="n"/>
      <c r="AD30" s="211" t="n"/>
      <c r="AE30" s="211" t="n"/>
      <c r="AF30" s="211" t="n"/>
      <c r="AG30" s="211" t="n"/>
      <c r="AH30" s="211" t="n"/>
      <c r="AI30" s="211" t="n"/>
      <c r="AJ30" s="211" t="n"/>
      <c r="AK30" s="211" t="n"/>
      <c r="AL30" s="211" t="n"/>
      <c r="AM30" s="211" t="n"/>
      <c r="AN30" s="211" t="n"/>
      <c r="AO30" s="211" t="n"/>
      <c r="AP30" s="211" t="n"/>
      <c r="AQ30" s="211" t="n"/>
      <c r="AR30" s="211" t="n"/>
      <c r="AS30" s="211" t="n"/>
      <c r="AT30" s="211" t="n"/>
      <c r="AU30" s="211" t="n"/>
      <c r="AV30" s="211" t="n"/>
      <c r="AW30" s="66" t="n"/>
      <c r="BB30" s="59" t="n"/>
      <c r="BC30" s="59" t="n"/>
      <c r="BD30" s="59" t="n"/>
      <c r="BE30" s="59" t="n"/>
      <c r="BF30" s="59" t="n"/>
      <c r="BG30" s="59" t="n"/>
    </row>
    <row r="31" ht="20.25" customFormat="1" customHeight="1" s="192">
      <c r="A31" s="54" t="n"/>
      <c r="B31" s="55" t="n"/>
      <c r="C31" s="56" t="n"/>
      <c r="D31" s="56" t="n"/>
      <c r="E31" s="211" t="n"/>
      <c r="F31" s="211" t="n"/>
      <c r="G31" s="211" t="n"/>
      <c r="H31" s="211" t="n"/>
      <c r="I31" s="211" t="n"/>
      <c r="J31" s="211" t="n"/>
      <c r="K31" s="211" t="n"/>
      <c r="L31" s="191" t="n"/>
      <c r="M31" s="211" t="n"/>
      <c r="N31" s="211" t="n"/>
      <c r="O31" s="211" t="n"/>
      <c r="P31" s="211" t="n"/>
      <c r="Q31" s="211" t="n"/>
      <c r="R31" s="211" t="n"/>
      <c r="S31" s="211" t="n"/>
      <c r="T31" s="211" t="n"/>
      <c r="U31" s="211" t="n"/>
      <c r="V31" s="211" t="n"/>
      <c r="W31" s="211" t="n"/>
      <c r="X31" s="211" t="n"/>
      <c r="Y31" s="211" t="n"/>
      <c r="Z31" s="211" t="n"/>
      <c r="AA31" s="211" t="n"/>
      <c r="AB31" s="211" t="n"/>
      <c r="AC31" s="211" t="n"/>
      <c r="AD31" s="211" t="n"/>
      <c r="AE31" s="211" t="n"/>
      <c r="AF31" s="211" t="n"/>
      <c r="AG31" s="191" t="n"/>
      <c r="AH31" s="211" t="n"/>
      <c r="AI31" s="211" t="n"/>
      <c r="AJ31" s="211" t="n"/>
      <c r="AK31" s="211" t="n"/>
      <c r="AL31" s="211" t="n"/>
      <c r="AM31" s="211" t="n"/>
      <c r="AN31" s="211" t="n"/>
      <c r="AO31" s="211" t="n"/>
      <c r="AP31" s="211" t="n"/>
      <c r="AQ31" s="211" t="n"/>
      <c r="AR31" s="211" t="n"/>
      <c r="AS31" s="211" t="n"/>
      <c r="AT31" s="211" t="n"/>
      <c r="AU31" s="211" t="n"/>
      <c r="AV31" s="211" t="n"/>
      <c r="AW31" s="66" t="n"/>
      <c r="BB31" s="59" t="n"/>
      <c r="BC31" s="59" t="n"/>
      <c r="BD31" s="59" t="n"/>
      <c r="BE31" s="59" t="n"/>
      <c r="BF31" s="59" t="n"/>
      <c r="BG31" s="59" t="n"/>
    </row>
    <row r="32" ht="20.25" customFormat="1" customHeight="1" s="192">
      <c r="A32" s="54" t="n"/>
      <c r="B32" s="55" t="n"/>
      <c r="C32" s="56" t="n"/>
      <c r="D32" s="56" t="n"/>
      <c r="E32" s="211" t="n"/>
      <c r="F32" s="211" t="n"/>
      <c r="G32" s="211" t="n"/>
      <c r="H32" s="211" t="n"/>
      <c r="I32" s="211" t="n"/>
      <c r="J32" s="211" t="n"/>
      <c r="K32" s="211" t="n"/>
      <c r="L32" s="211" t="n"/>
      <c r="M32" s="211" t="n"/>
      <c r="N32" s="211" t="n"/>
      <c r="O32" s="211" t="n"/>
      <c r="P32" s="211" t="n"/>
      <c r="Q32" s="211" t="n"/>
      <c r="R32" s="211" t="n"/>
      <c r="S32" s="211" t="n"/>
      <c r="T32" s="211" t="n"/>
      <c r="U32" s="211" t="n"/>
      <c r="V32" s="211" t="n"/>
      <c r="W32" s="211" t="n"/>
      <c r="X32" s="211" t="n"/>
      <c r="Y32" s="211" t="n"/>
      <c r="Z32" s="211" t="n"/>
      <c r="AA32" s="211" t="n"/>
      <c r="AB32" s="211" t="n"/>
      <c r="AC32" s="211" t="n"/>
      <c r="AD32" s="211" t="n"/>
      <c r="AE32" s="211" t="n"/>
      <c r="AF32" s="211" t="n"/>
      <c r="AG32" s="211" t="n"/>
      <c r="AH32" s="211" t="n"/>
      <c r="AI32" s="211" t="n"/>
      <c r="AJ32" s="211" t="n"/>
      <c r="AK32" s="211" t="n"/>
      <c r="AL32" s="211" t="n"/>
      <c r="AM32" s="211" t="n"/>
      <c r="AN32" s="211" t="n"/>
      <c r="AO32" s="211" t="n"/>
      <c r="AP32" s="211" t="n"/>
      <c r="AQ32" s="211" t="n"/>
      <c r="AR32" s="211" t="n"/>
      <c r="AS32" s="211" t="n"/>
      <c r="AT32" s="211" t="n"/>
      <c r="AU32" s="211" t="n"/>
      <c r="AV32" s="211" t="n"/>
      <c r="AW32" s="66" t="n"/>
      <c r="BB32" s="59" t="n"/>
      <c r="BC32" s="59" t="n"/>
      <c r="BD32" s="59" t="n"/>
      <c r="BE32" s="59" t="n"/>
      <c r="BF32" s="59" t="n"/>
      <c r="BG32" s="59" t="n"/>
    </row>
    <row r="33" ht="20.25" customFormat="1" customHeight="1" s="192">
      <c r="A33" s="54" t="n"/>
      <c r="B33" s="55" t="n"/>
      <c r="C33" s="56" t="n"/>
      <c r="D33" s="56" t="n"/>
      <c r="E33" s="211" t="n"/>
      <c r="F33" s="211" t="n"/>
      <c r="G33" s="211" t="n"/>
      <c r="H33" s="211" t="n"/>
      <c r="I33" s="211" t="n"/>
      <c r="J33" s="211" t="n"/>
      <c r="K33" s="211" t="n"/>
      <c r="L33" s="211" t="n"/>
      <c r="M33" s="211" t="n"/>
      <c r="N33" s="211" t="n"/>
      <c r="O33" s="211" t="n"/>
      <c r="P33" s="211" t="n"/>
      <c r="Q33" s="211" t="n"/>
      <c r="R33" s="211" t="n"/>
      <c r="S33" s="211" t="n"/>
      <c r="T33" s="211" t="n"/>
      <c r="U33" s="211" t="n"/>
      <c r="V33" s="211" t="n"/>
      <c r="W33" s="211" t="n"/>
      <c r="X33" s="211" t="n"/>
      <c r="Y33" s="211" t="n"/>
      <c r="Z33" s="211" t="n"/>
      <c r="AA33" s="211" t="n"/>
      <c r="AB33" s="211" t="n"/>
      <c r="AC33" s="211" t="n"/>
      <c r="AD33" s="211" t="n"/>
      <c r="AE33" s="211" t="n"/>
      <c r="AF33" s="211" t="n"/>
      <c r="AG33" s="211" t="n"/>
      <c r="AH33" s="211" t="n"/>
      <c r="AI33" s="211" t="n"/>
      <c r="AJ33" s="211" t="n"/>
      <c r="AK33" s="211" t="n"/>
      <c r="AL33" s="211" t="n"/>
      <c r="AM33" s="211" t="n"/>
      <c r="AN33" s="211" t="n"/>
      <c r="AO33" s="211" t="n"/>
      <c r="AP33" s="211" t="n"/>
      <c r="AQ33" s="211" t="n"/>
      <c r="AR33" s="211" t="n"/>
      <c r="AS33" s="211" t="n"/>
      <c r="AT33" s="211" t="n"/>
      <c r="AU33" s="211" t="n"/>
      <c r="AV33" s="211" t="n"/>
      <c r="AW33" s="66" t="n"/>
      <c r="BB33" s="59" t="n"/>
      <c r="BC33" s="59" t="n"/>
      <c r="BD33" s="59" t="n"/>
      <c r="BE33" s="59" t="n"/>
      <c r="BF33" s="59" t="n"/>
      <c r="BG33" s="59" t="n"/>
    </row>
  </sheetData>
  <mergeCells count="44">
    <mergeCell ref="B24:D24"/>
    <mergeCell ref="E26:F26"/>
    <mergeCell ref="B17:D17"/>
    <mergeCell ref="B19:D19"/>
    <mergeCell ref="B20:D20"/>
    <mergeCell ref="B21:D21"/>
    <mergeCell ref="B22:D22"/>
    <mergeCell ref="B23:D23"/>
    <mergeCell ref="B18:C18"/>
    <mergeCell ref="B11:D11"/>
    <mergeCell ref="B10:D10"/>
    <mergeCell ref="B12:D12"/>
    <mergeCell ref="B13:D13"/>
    <mergeCell ref="AX13:AX16"/>
    <mergeCell ref="B14:D14"/>
    <mergeCell ref="B15:D15"/>
    <mergeCell ref="B16:D16"/>
    <mergeCell ref="AU4:AW4"/>
    <mergeCell ref="B6:D6"/>
    <mergeCell ref="Z4:AB4"/>
    <mergeCell ref="AC4:AE4"/>
    <mergeCell ref="AX8:AX9"/>
    <mergeCell ref="B9:D9"/>
    <mergeCell ref="B7:D7"/>
    <mergeCell ref="B8:D8"/>
    <mergeCell ref="B5:D5"/>
    <mergeCell ref="T4:V4"/>
    <mergeCell ref="W4:Y4"/>
    <mergeCell ref="A2:D2"/>
    <mergeCell ref="AY2:AZ2"/>
    <mergeCell ref="B3:D3"/>
    <mergeCell ref="AX3:AY3"/>
    <mergeCell ref="B4:D4"/>
    <mergeCell ref="E4:G4"/>
    <mergeCell ref="H4:J4"/>
    <mergeCell ref="K4:M4"/>
    <mergeCell ref="N4:P4"/>
    <mergeCell ref="Q4:S4"/>
    <mergeCell ref="AX4:AY4"/>
    <mergeCell ref="AF4:AH4"/>
    <mergeCell ref="AI4:AK4"/>
    <mergeCell ref="AL4:AN4"/>
    <mergeCell ref="AO4:AQ4"/>
    <mergeCell ref="AR4:AT4"/>
  </mergeCells>
  <printOptions horizontalCentered="1" verticalCentered="1"/>
  <pageMargins left="0.2362204724409449" right="0.2362204724409449" top="0.25" bottom="0.25" header="0.3149606299212598" footer="0.3149606299212598"/>
  <pageSetup orientation="landscape" paperSize="8" scale="22"/>
  <headerFooter>
    <oddHeader>&amp;R&amp;"HG丸ｺﾞｼｯｸM-PRO,標準"&amp;14 ＳＨＣ</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FF7030A0"/>
    <outlinePr summaryBelow="1" summaryRight="1"/>
    <pageSetUpPr fitToPage="1"/>
  </sheetPr>
  <dimension ref="A1:BG32"/>
  <sheetViews>
    <sheetView showGridLines="0" view="pageBreakPreview" topLeftCell="B1" zoomScale="34" zoomScaleNormal="100" zoomScaleSheetLayoutView="34" zoomScalePageLayoutView="80" workbookViewId="0">
      <pane xSplit="3" ySplit="6" topLeftCell="I13" activePane="bottomRight" state="frozen"/>
      <selection activeCell="B1" sqref="B1"/>
      <selection pane="topRight" activeCell="E1" sqref="E1"/>
      <selection pane="bottomLeft" activeCell="B6" sqref="B6"/>
      <selection pane="bottomRight" activeCell="X11" sqref="X11"/>
    </sheetView>
  </sheetViews>
  <sheetFormatPr baseColWidth="8" defaultColWidth="9" defaultRowHeight="20.25" customHeight="1" outlineLevelRow="1"/>
  <cols>
    <col width="9" customWidth="1" style="54" min="1" max="1"/>
    <col width="20.59765625" customWidth="1" style="55" min="2" max="2"/>
    <col width="20.59765625" customWidth="1" style="56" min="3" max="4"/>
    <col width="18.265625" customWidth="1" style="211" min="5" max="8"/>
    <col width="16.1328125" customWidth="1" style="211" min="9" max="9"/>
    <col width="18.265625" customWidth="1" style="211" min="10" max="22"/>
    <col width="23.33203125" bestFit="1" customWidth="1" style="211" min="23" max="23"/>
    <col width="18.265625" customWidth="1" style="211" min="24" max="43"/>
    <col width="23.33203125" bestFit="1" customWidth="1" style="211" min="44" max="44"/>
    <col width="18.265625" customWidth="1" style="211" min="45" max="46"/>
    <col width="23.33203125" bestFit="1" customWidth="1" style="211" min="47" max="47"/>
    <col width="18.265625" customWidth="1" style="211" min="48" max="48"/>
    <col width="18.265625" customWidth="1" style="66" min="49" max="49"/>
    <col width="10.06640625" customWidth="1" style="192" min="50" max="51"/>
    <col width="12.33203125" customWidth="1" style="192" min="52" max="52"/>
    <col width="2.33203125" customWidth="1" style="192" min="53" max="53"/>
    <col width="9" customWidth="1" style="59" min="54" max="58"/>
    <col width="25.796875" customWidth="1" style="59" min="59" max="59"/>
    <col width="9" customWidth="1" style="59" min="60" max="61"/>
    <col width="9" customWidth="1" style="59" min="62" max="16384"/>
  </cols>
  <sheetData>
    <row r="1" ht="20.25" customHeight="1" s="154">
      <c r="AW1" s="211" t="n"/>
    </row>
    <row r="2" ht="80.25" customFormat="1" customHeight="1" s="181">
      <c r="A2" s="180" t="inlineStr">
        <is>
          <t>2025年通期</t>
        </is>
      </c>
      <c r="E2" s="60" t="n"/>
      <c r="F2" s="60" t="n"/>
      <c r="G2" s="60" t="n"/>
      <c r="H2" s="60" t="n"/>
      <c r="I2" s="60" t="n"/>
      <c r="J2" s="60" t="n"/>
      <c r="K2" s="60" t="n"/>
      <c r="L2" s="60" t="n"/>
      <c r="M2" s="60" t="n"/>
      <c r="N2" s="60" t="n"/>
      <c r="O2" s="60" t="n"/>
      <c r="P2" s="60" t="n"/>
      <c r="Q2" s="60" t="n"/>
      <c r="R2" s="60" t="n"/>
      <c r="S2" s="60" t="n"/>
      <c r="T2" s="60" t="n"/>
      <c r="U2" s="60" t="n"/>
      <c r="V2" s="60" t="n"/>
      <c r="W2" s="60" t="n"/>
      <c r="X2" s="60" t="n"/>
      <c r="Y2" s="60" t="n"/>
      <c r="Z2" s="60" t="n"/>
      <c r="AA2" s="60" t="n"/>
      <c r="AB2" s="60" t="n"/>
      <c r="AC2" s="60" t="n"/>
      <c r="AD2" s="60" t="n"/>
      <c r="AE2" s="60" t="n"/>
      <c r="AF2" s="60" t="n"/>
      <c r="AG2" s="60" t="n"/>
      <c r="AH2" s="60" t="n"/>
      <c r="AI2" s="60" t="n"/>
      <c r="AJ2" s="60" t="n"/>
      <c r="AK2" s="60" t="n"/>
      <c r="AL2" s="60" t="n"/>
      <c r="AM2" s="60" t="n"/>
      <c r="AN2" s="60" t="n"/>
      <c r="AO2" s="60" t="n"/>
      <c r="AP2" s="60" t="n"/>
      <c r="AQ2" s="60" t="n"/>
      <c r="AR2" s="60" t="n"/>
      <c r="AS2" s="60" t="n"/>
      <c r="AT2" s="60" t="n"/>
      <c r="AU2" s="60" t="n"/>
      <c r="AV2" s="60" t="n"/>
      <c r="AW2" s="60" t="n"/>
      <c r="AX2" s="61" t="n"/>
      <c r="AY2" s="182" t="n"/>
      <c r="BA2" s="62" t="n"/>
    </row>
    <row r="3" ht="80.25" customFormat="1" customHeight="1" s="181" thickBot="1">
      <c r="A3" s="64" t="n"/>
      <c r="B3" s="183" t="inlineStr">
        <is>
          <t>紹介状況・目標</t>
        </is>
      </c>
      <c r="C3" s="184" t="n"/>
      <c r="D3" s="184" t="n"/>
      <c r="E3" s="60" t="n"/>
      <c r="F3" s="60" t="n"/>
      <c r="G3" s="60" t="n"/>
      <c r="H3" s="60" t="n"/>
      <c r="I3" s="60" t="n"/>
      <c r="J3" s="60" t="n"/>
      <c r="K3" s="60" t="n"/>
      <c r="L3" s="60" t="n"/>
      <c r="M3" s="60" t="n"/>
      <c r="N3" s="60" t="n"/>
      <c r="O3" s="60" t="n"/>
      <c r="P3" s="60" t="n"/>
      <c r="Q3" s="60" t="n"/>
      <c r="R3" s="60" t="n"/>
      <c r="S3" s="60" t="n"/>
      <c r="T3" s="60" t="n"/>
      <c r="U3" s="60" t="n"/>
      <c r="V3" s="60" t="n"/>
      <c r="W3" s="60" t="n"/>
      <c r="X3" s="60" t="n"/>
      <c r="Y3" s="60" t="n"/>
      <c r="Z3" s="60" t="n"/>
      <c r="AA3" s="60" t="n"/>
      <c r="AB3" s="60" t="n"/>
      <c r="AC3" s="60" t="n"/>
      <c r="AD3" s="60" t="n"/>
      <c r="AE3" s="60" t="n"/>
      <c r="AF3" s="60" t="n"/>
      <c r="AG3" s="60" t="n"/>
      <c r="AH3" s="60" t="n"/>
      <c r="AI3" s="60" t="n"/>
      <c r="AJ3" s="60" t="n"/>
      <c r="AK3" s="60" t="n"/>
      <c r="AL3" s="60" t="n"/>
      <c r="AM3" s="60" t="n"/>
      <c r="AN3" s="60" t="n"/>
      <c r="AO3" s="60" t="n"/>
      <c r="AP3" s="60" t="n"/>
      <c r="AQ3" s="60" t="n"/>
      <c r="AR3" s="60" t="n"/>
      <c r="AS3" s="60" t="n"/>
      <c r="AT3" s="60" t="n"/>
      <c r="AU3" s="60" t="n"/>
      <c r="AV3" s="60" t="n"/>
      <c r="AW3" s="60" t="inlineStr">
        <is>
          <t>単位(千円）</t>
        </is>
      </c>
      <c r="AX3" s="185" t="n"/>
    </row>
    <row r="4" ht="76.05" customHeight="1" s="154">
      <c r="B4" s="186" t="n"/>
      <c r="C4" s="187" t="n"/>
      <c r="D4" s="188" t="n"/>
      <c r="E4" s="189" t="inlineStr">
        <is>
          <t>４月</t>
        </is>
      </c>
      <c r="F4" s="187" t="n"/>
      <c r="G4" s="190" t="n"/>
      <c r="H4" s="189" t="inlineStr">
        <is>
          <t>5月</t>
        </is>
      </c>
      <c r="I4" s="187" t="n"/>
      <c r="J4" s="190" t="n"/>
      <c r="K4" s="189" t="inlineStr">
        <is>
          <t>6月</t>
        </is>
      </c>
      <c r="L4" s="187" t="n"/>
      <c r="M4" s="190" t="n"/>
      <c r="N4" s="189" t="inlineStr">
        <is>
          <t>7月</t>
        </is>
      </c>
      <c r="O4" s="187" t="n"/>
      <c r="P4" s="190" t="n"/>
      <c r="Q4" s="189" t="inlineStr">
        <is>
          <t>8月</t>
        </is>
      </c>
      <c r="R4" s="187" t="n"/>
      <c r="S4" s="190" t="n"/>
      <c r="T4" s="189" t="inlineStr">
        <is>
          <t>9月</t>
        </is>
      </c>
      <c r="U4" s="187" t="n"/>
      <c r="V4" s="190" t="n"/>
      <c r="W4" s="193" t="inlineStr">
        <is>
          <t xml:space="preserve">上期 </t>
        </is>
      </c>
      <c r="X4" s="187" t="n"/>
      <c r="Y4" s="190" t="n"/>
      <c r="Z4" s="195" t="inlineStr">
        <is>
          <t>10月</t>
        </is>
      </c>
      <c r="AA4" s="196" t="n"/>
      <c r="AB4" s="197" t="n"/>
      <c r="AC4" s="189" t="inlineStr">
        <is>
          <t>11月</t>
        </is>
      </c>
      <c r="AD4" s="187" t="n"/>
      <c r="AE4" s="190" t="n"/>
      <c r="AF4" s="189" t="inlineStr">
        <is>
          <t>12月</t>
        </is>
      </c>
      <c r="AG4" s="187" t="n"/>
      <c r="AH4" s="190" t="n"/>
      <c r="AI4" s="189" t="inlineStr">
        <is>
          <t>1月</t>
        </is>
      </c>
      <c r="AJ4" s="187" t="n"/>
      <c r="AK4" s="190" t="n"/>
      <c r="AL4" s="189" t="inlineStr">
        <is>
          <t>2月</t>
        </is>
      </c>
      <c r="AM4" s="187" t="n"/>
      <c r="AN4" s="190" t="n"/>
      <c r="AO4" s="189" t="inlineStr">
        <is>
          <t>3月</t>
        </is>
      </c>
      <c r="AP4" s="187" t="n"/>
      <c r="AQ4" s="190" t="n"/>
      <c r="AR4" s="193" t="inlineStr">
        <is>
          <t>下期</t>
        </is>
      </c>
      <c r="AS4" s="187" t="n"/>
      <c r="AT4" s="190" t="n"/>
      <c r="AU4" s="219" t="inlineStr">
        <is>
          <t>総合計</t>
        </is>
      </c>
      <c r="AV4" s="187" t="n"/>
      <c r="AW4" s="190" t="n"/>
      <c r="AX4" s="191" t="n"/>
      <c r="AZ4" s="191" t="n"/>
      <c r="BA4" s="191" t="n"/>
    </row>
    <row r="5" ht="88.5" customHeight="1" s="154">
      <c r="B5" s="204" t="n"/>
      <c r="C5" s="187" t="n"/>
      <c r="D5" s="190" t="n"/>
      <c r="E5" s="94" t="inlineStr">
        <is>
          <t>目標</t>
        </is>
      </c>
      <c r="F5" s="95" t="inlineStr">
        <is>
          <t>実績</t>
        </is>
      </c>
      <c r="G5" s="96" t="inlineStr">
        <is>
          <t>達成率</t>
        </is>
      </c>
      <c r="H5" s="94" t="inlineStr">
        <is>
          <t>目標</t>
        </is>
      </c>
      <c r="I5" s="95" t="inlineStr">
        <is>
          <t>実績</t>
        </is>
      </c>
      <c r="J5" s="96" t="inlineStr">
        <is>
          <t>達成率</t>
        </is>
      </c>
      <c r="K5" s="94" t="inlineStr">
        <is>
          <t>目標</t>
        </is>
      </c>
      <c r="L5" s="95" t="inlineStr">
        <is>
          <t>実績</t>
        </is>
      </c>
      <c r="M5" s="96" t="inlineStr">
        <is>
          <t>達成率</t>
        </is>
      </c>
      <c r="N5" s="94" t="inlineStr">
        <is>
          <t>目標</t>
        </is>
      </c>
      <c r="O5" s="95" t="inlineStr">
        <is>
          <t>実績</t>
        </is>
      </c>
      <c r="P5" s="96" t="inlineStr">
        <is>
          <t>達成率</t>
        </is>
      </c>
      <c r="Q5" s="94" t="inlineStr">
        <is>
          <t>目標</t>
        </is>
      </c>
      <c r="R5" s="95" t="inlineStr">
        <is>
          <t>実績</t>
        </is>
      </c>
      <c r="S5" s="96" t="inlineStr">
        <is>
          <t>達成率</t>
        </is>
      </c>
      <c r="T5" s="94" t="inlineStr">
        <is>
          <t>目標</t>
        </is>
      </c>
      <c r="U5" s="95" t="inlineStr">
        <is>
          <t>実績</t>
        </is>
      </c>
      <c r="V5" s="96" t="inlineStr">
        <is>
          <t>達成率</t>
        </is>
      </c>
      <c r="W5" s="94" t="inlineStr">
        <is>
          <t>目標</t>
        </is>
      </c>
      <c r="X5" s="95" t="inlineStr">
        <is>
          <t>実績</t>
        </is>
      </c>
      <c r="Y5" s="96" t="inlineStr">
        <is>
          <t>達成率</t>
        </is>
      </c>
      <c r="Z5" s="94" t="inlineStr">
        <is>
          <t>目標</t>
        </is>
      </c>
      <c r="AA5" s="95" t="inlineStr">
        <is>
          <t>実績</t>
        </is>
      </c>
      <c r="AB5" s="96" t="inlineStr">
        <is>
          <t>達成率</t>
        </is>
      </c>
      <c r="AC5" s="94" t="inlineStr">
        <is>
          <t>目標</t>
        </is>
      </c>
      <c r="AD5" s="95" t="inlineStr">
        <is>
          <t>実績</t>
        </is>
      </c>
      <c r="AE5" s="96" t="inlineStr">
        <is>
          <t>達成率</t>
        </is>
      </c>
      <c r="AF5" s="94" t="inlineStr">
        <is>
          <t>目標</t>
        </is>
      </c>
      <c r="AG5" s="95" t="inlineStr">
        <is>
          <t>実績</t>
        </is>
      </c>
      <c r="AH5" s="96" t="inlineStr">
        <is>
          <t>達成率</t>
        </is>
      </c>
      <c r="AI5" s="94" t="inlineStr">
        <is>
          <t>目標</t>
        </is>
      </c>
      <c r="AJ5" s="95" t="inlineStr">
        <is>
          <t>実績</t>
        </is>
      </c>
      <c r="AK5" s="96" t="inlineStr">
        <is>
          <t>達成率</t>
        </is>
      </c>
      <c r="AL5" s="94" t="inlineStr">
        <is>
          <t>目標</t>
        </is>
      </c>
      <c r="AM5" s="95" t="inlineStr">
        <is>
          <t>実績</t>
        </is>
      </c>
      <c r="AN5" s="96" t="inlineStr">
        <is>
          <t>達成率</t>
        </is>
      </c>
      <c r="AO5" s="94" t="inlineStr">
        <is>
          <t>目標</t>
        </is>
      </c>
      <c r="AP5" s="95" t="inlineStr">
        <is>
          <t>実績</t>
        </is>
      </c>
      <c r="AQ5" s="96" t="inlineStr">
        <is>
          <t>達成率</t>
        </is>
      </c>
      <c r="AR5" s="94" t="inlineStr">
        <is>
          <t>目標</t>
        </is>
      </c>
      <c r="AS5" s="95" t="inlineStr">
        <is>
          <t>実績</t>
        </is>
      </c>
      <c r="AT5" s="96" t="inlineStr">
        <is>
          <t>達成率</t>
        </is>
      </c>
      <c r="AU5" s="94" t="inlineStr">
        <is>
          <t>目標</t>
        </is>
      </c>
      <c r="AV5" s="95" t="inlineStr">
        <is>
          <t>実績</t>
        </is>
      </c>
      <c r="AW5" s="96" t="inlineStr">
        <is>
          <t>達成率</t>
        </is>
      </c>
      <c r="AX5" s="191" t="n"/>
      <c r="AY5" s="191" t="n"/>
      <c r="AZ5" s="191" t="n"/>
      <c r="BA5" s="191" t="n"/>
    </row>
    <row r="6" ht="99" customHeight="1" s="154">
      <c r="B6" s="220" t="inlineStr">
        <is>
          <t>総合計</t>
        </is>
      </c>
      <c r="C6" s="187" t="n"/>
      <c r="D6" s="188" t="n"/>
      <c r="E6" s="89">
        <f>E12+E17+E23</f>
        <v/>
      </c>
      <c r="F6" s="90">
        <f>F12+F17+F23</f>
        <v/>
      </c>
      <c r="G6" s="85">
        <f>F6/E6</f>
        <v/>
      </c>
      <c r="H6" s="79">
        <f>H12+H17+H23</f>
        <v/>
      </c>
      <c r="I6" s="78">
        <f>I12+I17+I23</f>
        <v/>
      </c>
      <c r="J6" s="85">
        <f>I6/H6</f>
        <v/>
      </c>
      <c r="K6" s="78">
        <f>K12+K17+K23</f>
        <v/>
      </c>
      <c r="L6" s="78">
        <f>L12+L17+L23</f>
        <v/>
      </c>
      <c r="M6" s="85">
        <f>L6/K6</f>
        <v/>
      </c>
      <c r="N6" s="78">
        <f>N12+N17+N23</f>
        <v/>
      </c>
      <c r="O6" s="78">
        <f>O12+O17+O23</f>
        <v/>
      </c>
      <c r="P6" s="85">
        <f>O6/N6</f>
        <v/>
      </c>
      <c r="Q6" s="114">
        <f>Q12+Q17+Q23</f>
        <v/>
      </c>
      <c r="R6" s="78">
        <f>R12+R17+R23</f>
        <v/>
      </c>
      <c r="S6" s="85">
        <f>R6/Q6</f>
        <v/>
      </c>
      <c r="T6" s="78">
        <f>T12+T17+T23</f>
        <v/>
      </c>
      <c r="U6" s="78">
        <f>U12+U17+U23</f>
        <v/>
      </c>
      <c r="V6" s="85">
        <f>U6/T6</f>
        <v/>
      </c>
      <c r="W6" s="78">
        <f>W12+W17+W23</f>
        <v/>
      </c>
      <c r="X6" s="78">
        <f>X12+X17+X23</f>
        <v/>
      </c>
      <c r="Y6" s="85">
        <f>X6/W6</f>
        <v/>
      </c>
      <c r="Z6" s="114">
        <f>Z12+Z17+Z23</f>
        <v/>
      </c>
      <c r="AA6" s="78">
        <f>AA12+AA17+AA23</f>
        <v/>
      </c>
      <c r="AB6" s="85">
        <f>AA6/Z6</f>
        <v/>
      </c>
      <c r="AC6" s="78">
        <f>AC12+AC17+AC23</f>
        <v/>
      </c>
      <c r="AD6" s="78">
        <f>AD12+AD17+AD23</f>
        <v/>
      </c>
      <c r="AE6" s="85">
        <f>AD6/AC6</f>
        <v/>
      </c>
      <c r="AF6" s="78">
        <f>AF12+AF17+AF23</f>
        <v/>
      </c>
      <c r="AG6" s="78">
        <f>AG12+AG17+AG23</f>
        <v/>
      </c>
      <c r="AH6" s="85">
        <f>AG6/AF6</f>
        <v/>
      </c>
      <c r="AI6" s="78">
        <f>AI12+AI17+AI23</f>
        <v/>
      </c>
      <c r="AJ6" s="78">
        <f>AJ12+AJ17+AJ23</f>
        <v/>
      </c>
      <c r="AK6" s="85">
        <f>AJ6/AI6</f>
        <v/>
      </c>
      <c r="AL6" s="78">
        <f>AL12+AL17+AL23</f>
        <v/>
      </c>
      <c r="AM6" s="78">
        <f>AM12+AM17+AM23</f>
        <v/>
      </c>
      <c r="AN6" s="85">
        <f>AM6/AL6</f>
        <v/>
      </c>
      <c r="AO6" s="78">
        <f>AO12+AO17+AO23</f>
        <v/>
      </c>
      <c r="AP6" s="78">
        <f>AP12+AP17+AP23</f>
        <v/>
      </c>
      <c r="AQ6" s="85">
        <f>AP6/AO6</f>
        <v/>
      </c>
      <c r="AR6" s="78">
        <f>AR12+AR17+AR23</f>
        <v/>
      </c>
      <c r="AS6" s="78">
        <f>AS12+AS17+AS23</f>
        <v/>
      </c>
      <c r="AT6" s="85">
        <f>AS6/AR6</f>
        <v/>
      </c>
      <c r="AU6" s="78">
        <f>AU12+AU17+AU23</f>
        <v/>
      </c>
      <c r="AV6" s="78">
        <f>AV12+AV17+AV23</f>
        <v/>
      </c>
      <c r="AW6" s="97">
        <f>AV6/AU6</f>
        <v/>
      </c>
      <c r="AX6" s="191" t="n"/>
      <c r="AY6" s="191" t="n"/>
      <c r="AZ6" s="191" t="n"/>
      <c r="BA6" s="191" t="n"/>
    </row>
    <row r="7" ht="80.25" customHeight="1" s="154">
      <c r="B7" s="208" t="inlineStr">
        <is>
          <t>外部紹介</t>
        </is>
      </c>
      <c r="C7" s="202" t="n"/>
      <c r="D7" s="203" t="n"/>
      <c r="E7" s="76" t="inlineStr">
        <is>
          <t>目標</t>
        </is>
      </c>
      <c r="F7" s="92" t="inlineStr">
        <is>
          <t>実績</t>
        </is>
      </c>
      <c r="G7" s="108" t="inlineStr">
        <is>
          <t>達成率</t>
        </is>
      </c>
      <c r="H7" s="73" t="inlineStr">
        <is>
          <t>目標</t>
        </is>
      </c>
      <c r="I7" s="68" t="inlineStr">
        <is>
          <t>実績</t>
        </is>
      </c>
      <c r="J7" s="108" t="inlineStr">
        <is>
          <t>達成率</t>
        </is>
      </c>
      <c r="K7" s="68" t="inlineStr">
        <is>
          <t>目標</t>
        </is>
      </c>
      <c r="L7" s="68" t="inlineStr">
        <is>
          <t>実績</t>
        </is>
      </c>
      <c r="M7" s="108" t="inlineStr">
        <is>
          <t>達成率</t>
        </is>
      </c>
      <c r="N7" s="68" t="inlineStr">
        <is>
          <t>目標</t>
        </is>
      </c>
      <c r="O7" s="68" t="inlineStr">
        <is>
          <t>実績</t>
        </is>
      </c>
      <c r="P7" s="108" t="inlineStr">
        <is>
          <t>達成率</t>
        </is>
      </c>
      <c r="Q7" s="76" t="inlineStr">
        <is>
          <t>目標</t>
        </is>
      </c>
      <c r="R7" s="68" t="inlineStr">
        <is>
          <t>実績</t>
        </is>
      </c>
      <c r="S7" s="108" t="inlineStr">
        <is>
          <t>達成率</t>
        </is>
      </c>
      <c r="T7" s="68" t="inlineStr">
        <is>
          <t>目標</t>
        </is>
      </c>
      <c r="U7" s="68" t="inlineStr">
        <is>
          <t>実績</t>
        </is>
      </c>
      <c r="V7" s="108" t="inlineStr">
        <is>
          <t>達成率</t>
        </is>
      </c>
      <c r="W7" s="68" t="inlineStr">
        <is>
          <t>目標</t>
        </is>
      </c>
      <c r="X7" s="68" t="inlineStr">
        <is>
          <t>実績</t>
        </is>
      </c>
      <c r="Y7" s="108" t="inlineStr">
        <is>
          <t>達成率</t>
        </is>
      </c>
      <c r="Z7" s="76" t="inlineStr">
        <is>
          <t>目標</t>
        </is>
      </c>
      <c r="AA7" s="68" t="inlineStr">
        <is>
          <t>実績</t>
        </is>
      </c>
      <c r="AB7" s="108" t="inlineStr">
        <is>
          <t>達成率</t>
        </is>
      </c>
      <c r="AC7" s="68" t="inlineStr">
        <is>
          <t>目標</t>
        </is>
      </c>
      <c r="AD7" s="68" t="inlineStr">
        <is>
          <t>実績</t>
        </is>
      </c>
      <c r="AE7" s="108" t="inlineStr">
        <is>
          <t>達成率</t>
        </is>
      </c>
      <c r="AF7" s="68" t="inlineStr">
        <is>
          <t>目標</t>
        </is>
      </c>
      <c r="AG7" s="68" t="inlineStr">
        <is>
          <t>実績</t>
        </is>
      </c>
      <c r="AH7" s="108" t="inlineStr">
        <is>
          <t>達成率</t>
        </is>
      </c>
      <c r="AI7" s="68" t="inlineStr">
        <is>
          <t>目標</t>
        </is>
      </c>
      <c r="AJ7" s="68" t="inlineStr">
        <is>
          <t>実績</t>
        </is>
      </c>
      <c r="AK7" s="108" t="inlineStr">
        <is>
          <t>達成率</t>
        </is>
      </c>
      <c r="AL7" s="68" t="inlineStr">
        <is>
          <t>目標</t>
        </is>
      </c>
      <c r="AM7" s="68" t="inlineStr">
        <is>
          <t>実績</t>
        </is>
      </c>
      <c r="AN7" s="108" t="inlineStr">
        <is>
          <t>達成率</t>
        </is>
      </c>
      <c r="AO7" s="68" t="inlineStr">
        <is>
          <t>目標</t>
        </is>
      </c>
      <c r="AP7" s="68" t="inlineStr">
        <is>
          <t>実績</t>
        </is>
      </c>
      <c r="AQ7" s="108" t="inlineStr">
        <is>
          <t>達成率</t>
        </is>
      </c>
      <c r="AR7" s="68" t="inlineStr">
        <is>
          <t>目標</t>
        </is>
      </c>
      <c r="AS7" s="68" t="inlineStr">
        <is>
          <t>実績</t>
        </is>
      </c>
      <c r="AT7" s="108" t="inlineStr">
        <is>
          <t>達成率</t>
        </is>
      </c>
      <c r="AU7" s="68" t="inlineStr">
        <is>
          <t>目標</t>
        </is>
      </c>
      <c r="AV7" s="68" t="inlineStr">
        <is>
          <t>実績</t>
        </is>
      </c>
      <c r="AW7" s="108" t="inlineStr">
        <is>
          <t>達成率</t>
        </is>
      </c>
      <c r="AX7" s="191" t="n"/>
      <c r="AY7" s="191" t="n"/>
      <c r="BA7" s="54" t="n"/>
    </row>
    <row r="8" ht="80.25" customHeight="1" s="154">
      <c r="B8" s="198" t="inlineStr">
        <is>
          <t>技人国</t>
        </is>
      </c>
      <c r="C8" s="199" t="n"/>
      <c r="D8" s="200" t="n"/>
      <c r="E8" s="74" t="n">
        <v>900</v>
      </c>
      <c r="F8" s="86" t="n">
        <v>400</v>
      </c>
      <c r="G8" s="93">
        <f>F8/E8</f>
        <v/>
      </c>
      <c r="H8" s="71" t="n">
        <v>900</v>
      </c>
      <c r="I8" s="67" t="n">
        <v>0</v>
      </c>
      <c r="J8" s="93">
        <f>I8/H8</f>
        <v/>
      </c>
      <c r="K8" s="67" t="n">
        <v>900</v>
      </c>
      <c r="L8" s="67" t="n">
        <v>0</v>
      </c>
      <c r="M8" s="93">
        <f>L8/K8</f>
        <v/>
      </c>
      <c r="N8" s="67" t="n">
        <v>900</v>
      </c>
      <c r="O8" s="67" t="n">
        <v>0</v>
      </c>
      <c r="P8" s="93">
        <f>O8/N8</f>
        <v/>
      </c>
      <c r="Q8" s="74" t="n">
        <v>900</v>
      </c>
      <c r="R8" s="67" t="n">
        <v>414</v>
      </c>
      <c r="S8" s="93">
        <f>R8/Q8</f>
        <v/>
      </c>
      <c r="T8" s="67" t="n">
        <v>900</v>
      </c>
      <c r="U8" s="67" t="n">
        <v>0</v>
      </c>
      <c r="V8" s="93">
        <f>U8/T8</f>
        <v/>
      </c>
      <c r="W8" s="67">
        <f>E8+H8+K8+N8+Q8+T8</f>
        <v/>
      </c>
      <c r="X8" s="67">
        <f>F8+I8+L8+O8+R8+U8</f>
        <v/>
      </c>
      <c r="Y8" s="93">
        <f>X8/W8</f>
        <v/>
      </c>
      <c r="Z8" s="74" t="n">
        <v>900</v>
      </c>
      <c r="AA8" s="67" t="n">
        <v>400</v>
      </c>
      <c r="AB8" s="93">
        <f>AA8/Z8</f>
        <v/>
      </c>
      <c r="AC8" s="67" t="n">
        <v>900</v>
      </c>
      <c r="AD8" s="67" t="n"/>
      <c r="AE8" s="93">
        <f>AD8/AC8</f>
        <v/>
      </c>
      <c r="AF8" s="67" t="n">
        <v>900</v>
      </c>
      <c r="AG8" s="67" t="n"/>
      <c r="AH8" s="93">
        <f>AG8/AF8</f>
        <v/>
      </c>
      <c r="AI8" s="67" t="n">
        <v>900</v>
      </c>
      <c r="AJ8" s="67" t="n"/>
      <c r="AK8" s="93">
        <f>AJ8/AI8</f>
        <v/>
      </c>
      <c r="AL8" s="67" t="n">
        <v>900</v>
      </c>
      <c r="AM8" s="67" t="n"/>
      <c r="AN8" s="93">
        <f>AM8/AL8</f>
        <v/>
      </c>
      <c r="AO8" s="67" t="n">
        <v>900</v>
      </c>
      <c r="AP8" s="67" t="n"/>
      <c r="AQ8" s="93">
        <f>AP8/AO8</f>
        <v/>
      </c>
      <c r="AR8" s="67">
        <f>SUM(Z8:AP8)</f>
        <v/>
      </c>
      <c r="AS8" s="67">
        <f>AA8+AD8+AG8+AJ8+AM8+AP8</f>
        <v/>
      </c>
      <c r="AT8" s="93">
        <f>AS8/AR8</f>
        <v/>
      </c>
      <c r="AU8" s="67">
        <f>W8+AR8</f>
        <v/>
      </c>
      <c r="AV8" s="67">
        <f>X8+AS8</f>
        <v/>
      </c>
      <c r="AW8" s="98">
        <f>AV8/AU8</f>
        <v/>
      </c>
      <c r="AX8" s="191" t="n"/>
      <c r="BA8" s="54" t="n"/>
    </row>
    <row r="9" ht="80.25" customHeight="1" s="154">
      <c r="B9" s="198" t="inlineStr">
        <is>
          <t>特定技能</t>
        </is>
      </c>
      <c r="C9" s="199" t="n"/>
      <c r="D9" s="200" t="n"/>
      <c r="E9" s="74" t="n">
        <v>200</v>
      </c>
      <c r="F9" s="67" t="n">
        <v>0</v>
      </c>
      <c r="G9" s="93">
        <f>F9/E9</f>
        <v/>
      </c>
      <c r="H9" s="71" t="n">
        <v>200</v>
      </c>
      <c r="I9" s="67" t="n">
        <v>200</v>
      </c>
      <c r="J9" s="93">
        <f>I9/H9</f>
        <v/>
      </c>
      <c r="K9" s="67" t="n">
        <v>200</v>
      </c>
      <c r="L9" s="67" t="n">
        <v>0</v>
      </c>
      <c r="M9" s="93">
        <f>L9/K9</f>
        <v/>
      </c>
      <c r="N9" s="67" t="n">
        <v>200</v>
      </c>
      <c r="O9" s="67" t="n">
        <v>0</v>
      </c>
      <c r="P9" s="93">
        <f>O9/N9</f>
        <v/>
      </c>
      <c r="Q9" s="74" t="n">
        <v>200</v>
      </c>
      <c r="R9" s="67" t="n">
        <v>0</v>
      </c>
      <c r="S9" s="93">
        <f>R9/Q9</f>
        <v/>
      </c>
      <c r="T9" s="67" t="n">
        <v>200</v>
      </c>
      <c r="U9" s="67" t="n">
        <v>0</v>
      </c>
      <c r="V9" s="93">
        <f>U9/T9</f>
        <v/>
      </c>
      <c r="W9" s="67">
        <f>E9+H9+K9+N9+Q9+T9</f>
        <v/>
      </c>
      <c r="X9" s="67">
        <f>F9+I9+L9+O9+R9+U9</f>
        <v/>
      </c>
      <c r="Y9" s="93">
        <f>X9/W9</f>
        <v/>
      </c>
      <c r="Z9" s="74" t="n">
        <v>200</v>
      </c>
      <c r="AA9" s="67" t="n">
        <v>0</v>
      </c>
      <c r="AB9" s="93">
        <f>AA9/Z9</f>
        <v/>
      </c>
      <c r="AC9" s="67" t="n">
        <v>200</v>
      </c>
      <c r="AD9" s="67" t="n"/>
      <c r="AE9" s="93">
        <f>AD9/AC9</f>
        <v/>
      </c>
      <c r="AF9" s="67" t="n">
        <v>200</v>
      </c>
      <c r="AG9" s="67" t="n"/>
      <c r="AH9" s="93">
        <f>AG9/AF9</f>
        <v/>
      </c>
      <c r="AI9" s="67" t="n">
        <v>200</v>
      </c>
      <c r="AJ9" s="67" t="n"/>
      <c r="AK9" s="93">
        <f>AJ9/AI9</f>
        <v/>
      </c>
      <c r="AL9" s="67" t="n">
        <v>200</v>
      </c>
      <c r="AM9" s="67" t="n"/>
      <c r="AN9" s="93">
        <f>AM9/AL9</f>
        <v/>
      </c>
      <c r="AO9" s="67" t="n">
        <v>200</v>
      </c>
      <c r="AP9" s="67" t="n"/>
      <c r="AQ9" s="93">
        <f>AP9/AO9</f>
        <v/>
      </c>
      <c r="AR9" s="67">
        <f>Z9+AC9+AF9+AI9+AL9+AO9</f>
        <v/>
      </c>
      <c r="AS9" s="67">
        <f>AA9+AD9+AG9+AJ9+AM9+AP9</f>
        <v/>
      </c>
      <c r="AT9" s="93">
        <f>AS9/AR9</f>
        <v/>
      </c>
      <c r="AU9" s="67">
        <f>W9+AR9</f>
        <v/>
      </c>
      <c r="AV9" s="67">
        <f>X9+AS9</f>
        <v/>
      </c>
      <c r="AW9" s="98">
        <f>AV9/AU9</f>
        <v/>
      </c>
      <c r="BA9" s="54" t="n"/>
    </row>
    <row r="10" outlineLevel="1" ht="80.25" customHeight="1" s="154">
      <c r="B10" s="198" t="inlineStr">
        <is>
          <t>アルバイト</t>
        </is>
      </c>
      <c r="C10" s="199" t="n"/>
      <c r="D10" s="200" t="n"/>
      <c r="E10" s="74" t="n"/>
      <c r="F10" s="67" t="n">
        <v>60</v>
      </c>
      <c r="G10" s="93">
        <f>F10/E10</f>
        <v/>
      </c>
      <c r="H10" s="71" t="n"/>
      <c r="I10" s="67" t="n">
        <v>0</v>
      </c>
      <c r="J10" s="93">
        <f>I10/H10</f>
        <v/>
      </c>
      <c r="K10" s="67" t="n"/>
      <c r="L10" s="67" t="n">
        <v>30</v>
      </c>
      <c r="M10" s="93">
        <f>L10/K10</f>
        <v/>
      </c>
      <c r="N10" s="67" t="n"/>
      <c r="O10" s="67" t="n">
        <v>180</v>
      </c>
      <c r="P10" s="93">
        <f>O10/N10</f>
        <v/>
      </c>
      <c r="Q10" s="74" t="n"/>
      <c r="R10" s="67" t="n">
        <v>0</v>
      </c>
      <c r="S10" s="93">
        <f>R10/Q10</f>
        <v/>
      </c>
      <c r="T10" s="67" t="n"/>
      <c r="U10" s="67" t="n">
        <v>0</v>
      </c>
      <c r="V10" s="93">
        <f>U10/T10</f>
        <v/>
      </c>
      <c r="W10" s="67">
        <f>E10+H10+K10+N10+Q10+T10</f>
        <v/>
      </c>
      <c r="X10" s="67">
        <f>F10+I10+L10+O10+R10+U10</f>
        <v/>
      </c>
      <c r="Y10" s="93">
        <f>X10/W10</f>
        <v/>
      </c>
      <c r="Z10" s="74" t="n"/>
      <c r="AA10" s="67" t="n">
        <v>0</v>
      </c>
      <c r="AB10" s="93">
        <f>AA10/Z10</f>
        <v/>
      </c>
      <c r="AC10" s="67" t="n"/>
      <c r="AD10" s="67" t="n"/>
      <c r="AE10" s="93">
        <f>AD10/AC10</f>
        <v/>
      </c>
      <c r="AF10" s="67" t="n"/>
      <c r="AG10" s="67" t="n"/>
      <c r="AH10" s="93">
        <f>AG10/AF10</f>
        <v/>
      </c>
      <c r="AI10" s="67" t="n"/>
      <c r="AJ10" s="67" t="n"/>
      <c r="AK10" s="93">
        <f>AJ10/AI10</f>
        <v/>
      </c>
      <c r="AL10" s="67" t="n"/>
      <c r="AM10" s="67" t="n"/>
      <c r="AN10" s="93">
        <f>AM10/AL10</f>
        <v/>
      </c>
      <c r="AO10" s="67" t="n"/>
      <c r="AP10" s="67" t="n"/>
      <c r="AQ10" s="93">
        <f>AP10/AO10</f>
        <v/>
      </c>
      <c r="AR10" s="67">
        <f>Z10+AC10+AF10+AI10+AL10+AO10</f>
        <v/>
      </c>
      <c r="AS10" s="67">
        <f>AA10+AD10+AG10+AJ10+AM10+AP10</f>
        <v/>
      </c>
      <c r="AT10" s="93">
        <f>AS10/AR10</f>
        <v/>
      </c>
      <c r="AU10" s="67">
        <f>W10+AR10</f>
        <v/>
      </c>
      <c r="AV10" s="67">
        <f>X10+AS10</f>
        <v/>
      </c>
      <c r="AW10" s="98">
        <f>AV10/AU10</f>
        <v/>
      </c>
      <c r="BA10" s="54" t="n"/>
    </row>
    <row r="11" outlineLevel="1" ht="80.25" customHeight="1" s="154">
      <c r="B11" s="198" t="inlineStr">
        <is>
          <t>支援業務</t>
        </is>
      </c>
      <c r="C11" s="199" t="n"/>
      <c r="D11" s="200" t="n"/>
      <c r="E11" s="75" t="n"/>
      <c r="F11" s="67" t="n">
        <v>70</v>
      </c>
      <c r="G11" s="93">
        <f>F11/E11</f>
        <v/>
      </c>
      <c r="H11" s="72" t="n"/>
      <c r="I11" s="70" t="n">
        <v>65</v>
      </c>
      <c r="J11" s="93">
        <f>I11/H11</f>
        <v/>
      </c>
      <c r="K11" s="70" t="n"/>
      <c r="L11" s="70" t="n">
        <v>65</v>
      </c>
      <c r="M11" s="93">
        <f>L11/K11</f>
        <v/>
      </c>
      <c r="N11" s="70" t="n"/>
      <c r="O11" s="70" t="n">
        <v>65</v>
      </c>
      <c r="P11" s="93">
        <f>O11/N11</f>
        <v/>
      </c>
      <c r="Q11" s="75" t="n"/>
      <c r="R11" s="70" t="n">
        <v>85</v>
      </c>
      <c r="S11" s="93">
        <f>R11/Q11</f>
        <v/>
      </c>
      <c r="T11" s="70" t="n"/>
      <c r="U11" s="70" t="n">
        <v>85</v>
      </c>
      <c r="V11" s="93">
        <f>U11/T11</f>
        <v/>
      </c>
      <c r="W11" s="70" t="n"/>
      <c r="X11" s="70">
        <f>F11+I11+L11+O11+R11+U11</f>
        <v/>
      </c>
      <c r="Y11" s="93">
        <f>X11/W11</f>
        <v/>
      </c>
      <c r="Z11" s="75" t="n"/>
      <c r="AA11" s="70" t="n">
        <v>85</v>
      </c>
      <c r="AB11" s="93">
        <f>AA11/Z11</f>
        <v/>
      </c>
      <c r="AC11" s="70" t="n"/>
      <c r="AD11" s="70" t="n"/>
      <c r="AE11" s="93">
        <f>AD11/AC11</f>
        <v/>
      </c>
      <c r="AF11" s="70" t="n"/>
      <c r="AG11" s="70" t="n"/>
      <c r="AH11" s="93">
        <f>AG11/AF11</f>
        <v/>
      </c>
      <c r="AI11" s="70" t="n"/>
      <c r="AJ11" s="70" t="n"/>
      <c r="AK11" s="93">
        <f>AJ11/AI11</f>
        <v/>
      </c>
      <c r="AL11" s="70" t="n"/>
      <c r="AM11" s="70" t="n"/>
      <c r="AN11" s="93">
        <f>AM11/AL11</f>
        <v/>
      </c>
      <c r="AO11" s="70" t="n"/>
      <c r="AP11" s="70" t="n"/>
      <c r="AQ11" s="93">
        <f>AP11/AO11</f>
        <v/>
      </c>
      <c r="AR11" s="70" t="n"/>
      <c r="AS11" s="70">
        <f>AA11+AD11+AG11+AJ11+AM11+AP11</f>
        <v/>
      </c>
      <c r="AT11" s="93">
        <f>AS11/AR11</f>
        <v/>
      </c>
      <c r="AU11" s="70">
        <f>W11+AR11</f>
        <v/>
      </c>
      <c r="AV11" s="70">
        <f>X11+AS11</f>
        <v/>
      </c>
      <c r="AW11" s="98">
        <f>AV11/AU11</f>
        <v/>
      </c>
      <c r="BA11" s="54" t="n"/>
    </row>
    <row r="12" ht="80.25" customHeight="1" s="154">
      <c r="B12" s="221" t="inlineStr">
        <is>
          <t>小計</t>
        </is>
      </c>
      <c r="C12" s="206" t="n"/>
      <c r="D12" s="207" t="n"/>
      <c r="E12" s="81">
        <f>E8+E9+E10+E11</f>
        <v/>
      </c>
      <c r="F12" s="87">
        <f>F8+F9+F10+F11</f>
        <v/>
      </c>
      <c r="G12" s="88">
        <f>F12/E12</f>
        <v/>
      </c>
      <c r="H12" s="82">
        <f>H8+H9+H10+H11</f>
        <v/>
      </c>
      <c r="I12" s="83">
        <f>I8+I9+I10+I11</f>
        <v/>
      </c>
      <c r="J12" s="88">
        <f>I12/H12</f>
        <v/>
      </c>
      <c r="K12" s="83">
        <f>K8+K9+K10+K11</f>
        <v/>
      </c>
      <c r="L12" s="83">
        <f>L8+L9+L10+L11</f>
        <v/>
      </c>
      <c r="M12" s="88">
        <f>L12/K12</f>
        <v/>
      </c>
      <c r="N12" s="83">
        <f>N8+N9+N10+N11</f>
        <v/>
      </c>
      <c r="O12" s="83">
        <f>O8+O9+O10+O11</f>
        <v/>
      </c>
      <c r="P12" s="88">
        <f>O12/N12</f>
        <v/>
      </c>
      <c r="Q12" s="81">
        <f>Q8+Q9+Q10+Q11</f>
        <v/>
      </c>
      <c r="R12" s="83">
        <f>R8+R9+R10+R11</f>
        <v/>
      </c>
      <c r="S12" s="88">
        <f>R12/Q12</f>
        <v/>
      </c>
      <c r="T12" s="83">
        <f>T8+T9+T10</f>
        <v/>
      </c>
      <c r="U12" s="83">
        <f>U8+U9+U10+U11</f>
        <v/>
      </c>
      <c r="V12" s="88">
        <f>U12/T12</f>
        <v/>
      </c>
      <c r="W12" s="83">
        <f>W8+W9+W10+W11</f>
        <v/>
      </c>
      <c r="X12" s="83">
        <f>X8+X9+X10+X11</f>
        <v/>
      </c>
      <c r="Y12" s="93">
        <f>X12/W12</f>
        <v/>
      </c>
      <c r="Z12" s="81">
        <f>Z8+Z9+Z10+Z11</f>
        <v/>
      </c>
      <c r="AA12" s="83">
        <f>AA8+AA9+AA10+AA11</f>
        <v/>
      </c>
      <c r="AB12" s="88">
        <f>AA12/Z12</f>
        <v/>
      </c>
      <c r="AC12" s="83">
        <f>AC8+AC9+AC10+AC11</f>
        <v/>
      </c>
      <c r="AD12" s="83">
        <f>AD8+AD9+AD10+AD11</f>
        <v/>
      </c>
      <c r="AE12" s="88">
        <f>AD12/AC12</f>
        <v/>
      </c>
      <c r="AF12" s="83">
        <f>AF8+AF9+AF10+AF11</f>
        <v/>
      </c>
      <c r="AG12" s="83">
        <f>AG8+AG9+AG10+AG11</f>
        <v/>
      </c>
      <c r="AH12" s="88">
        <f>AG12/AF12</f>
        <v/>
      </c>
      <c r="AI12" s="83">
        <f>AI8+AI9+AI10+AI11</f>
        <v/>
      </c>
      <c r="AJ12" s="83">
        <f>AJ8+AJ9+AJ10+AJ11</f>
        <v/>
      </c>
      <c r="AK12" s="88">
        <f>AJ12/AI12</f>
        <v/>
      </c>
      <c r="AL12" s="83">
        <f>AL8+AL9+AL10+AL11</f>
        <v/>
      </c>
      <c r="AM12" s="83">
        <f>AM8+AM9+AM10+AM11</f>
        <v/>
      </c>
      <c r="AN12" s="88">
        <f>AM12/AL12</f>
        <v/>
      </c>
      <c r="AO12" s="83">
        <f>AO8+AO9+AO10+AO11</f>
        <v/>
      </c>
      <c r="AP12" s="83">
        <f>AP8+AP9+AP10+AP11</f>
        <v/>
      </c>
      <c r="AQ12" s="88">
        <f>AP12/AO12</f>
        <v/>
      </c>
      <c r="AR12" s="83">
        <f>AR8+AR9+AR10+AR11</f>
        <v/>
      </c>
      <c r="AS12" s="83">
        <f>AS8+AS9+AS10+AS11</f>
        <v/>
      </c>
      <c r="AT12" s="93">
        <f>AS12/AR12</f>
        <v/>
      </c>
      <c r="AU12" s="83">
        <f>AU8+AU9+AU10+AU11</f>
        <v/>
      </c>
      <c r="AV12" s="83">
        <f>AV8+AV9+AV10+AV11</f>
        <v/>
      </c>
      <c r="AW12" s="98">
        <f>AV12/AU12</f>
        <v/>
      </c>
      <c r="AX12" s="191" t="n"/>
      <c r="BA12" s="54" t="n"/>
    </row>
    <row r="13" outlineLevel="1" ht="80.25" customHeight="1" s="154">
      <c r="B13" s="222" t="inlineStr">
        <is>
          <t>試験対策</t>
        </is>
      </c>
      <c r="C13" s="202" t="n"/>
      <c r="D13" s="203" t="n"/>
      <c r="E13" s="103" t="inlineStr">
        <is>
          <t>目標</t>
        </is>
      </c>
      <c r="F13" s="104" t="inlineStr">
        <is>
          <t>実績</t>
        </is>
      </c>
      <c r="G13" s="105" t="inlineStr">
        <is>
          <t>達成率</t>
        </is>
      </c>
      <c r="H13" s="106" t="inlineStr">
        <is>
          <t>目標</t>
        </is>
      </c>
      <c r="I13" s="107" t="inlineStr">
        <is>
          <t>実績</t>
        </is>
      </c>
      <c r="J13" s="105" t="inlineStr">
        <is>
          <t>達成率</t>
        </is>
      </c>
      <c r="K13" s="107" t="inlineStr">
        <is>
          <t>目標</t>
        </is>
      </c>
      <c r="L13" s="107" t="inlineStr">
        <is>
          <t>実績</t>
        </is>
      </c>
      <c r="M13" s="105" t="inlineStr">
        <is>
          <t>達成率</t>
        </is>
      </c>
      <c r="N13" s="107" t="inlineStr">
        <is>
          <t>目標</t>
        </is>
      </c>
      <c r="O13" s="107" t="inlineStr">
        <is>
          <t>実績</t>
        </is>
      </c>
      <c r="P13" s="105" t="inlineStr">
        <is>
          <t>達成率</t>
        </is>
      </c>
      <c r="Q13" s="103" t="inlineStr">
        <is>
          <t>目標</t>
        </is>
      </c>
      <c r="R13" s="107" t="inlineStr">
        <is>
          <t>実績</t>
        </is>
      </c>
      <c r="S13" s="105" t="inlineStr">
        <is>
          <t>達成率</t>
        </is>
      </c>
      <c r="T13" s="107" t="inlineStr">
        <is>
          <t>目標</t>
        </is>
      </c>
      <c r="U13" s="107" t="inlineStr">
        <is>
          <t>実績</t>
        </is>
      </c>
      <c r="V13" s="105" t="inlineStr">
        <is>
          <t>達成率</t>
        </is>
      </c>
      <c r="W13" s="107" t="inlineStr">
        <is>
          <t>目標</t>
        </is>
      </c>
      <c r="X13" s="107" t="inlineStr">
        <is>
          <t>実績</t>
        </is>
      </c>
      <c r="Y13" s="105" t="inlineStr">
        <is>
          <t>達成率</t>
        </is>
      </c>
      <c r="Z13" s="103" t="inlineStr">
        <is>
          <t>目標</t>
        </is>
      </c>
      <c r="AA13" s="107" t="inlineStr">
        <is>
          <t>実績</t>
        </is>
      </c>
      <c r="AB13" s="105" t="inlineStr">
        <is>
          <t>達成率</t>
        </is>
      </c>
      <c r="AC13" s="107" t="inlineStr">
        <is>
          <t>目標</t>
        </is>
      </c>
      <c r="AD13" s="107" t="inlineStr">
        <is>
          <t>実績</t>
        </is>
      </c>
      <c r="AE13" s="105" t="inlineStr">
        <is>
          <t>達成率</t>
        </is>
      </c>
      <c r="AF13" s="107" t="inlineStr">
        <is>
          <t>目標</t>
        </is>
      </c>
      <c r="AG13" s="107" t="inlineStr">
        <is>
          <t>実績</t>
        </is>
      </c>
      <c r="AH13" s="105" t="inlineStr">
        <is>
          <t>達成率</t>
        </is>
      </c>
      <c r="AI13" s="107" t="inlineStr">
        <is>
          <t>目標</t>
        </is>
      </c>
      <c r="AJ13" s="107" t="inlineStr">
        <is>
          <t>実績</t>
        </is>
      </c>
      <c r="AK13" s="105" t="inlineStr">
        <is>
          <t>達成率</t>
        </is>
      </c>
      <c r="AL13" s="107" t="inlineStr">
        <is>
          <t>目標</t>
        </is>
      </c>
      <c r="AM13" s="107" t="inlineStr">
        <is>
          <t>実績</t>
        </is>
      </c>
      <c r="AN13" s="105" t="inlineStr">
        <is>
          <t>達成率</t>
        </is>
      </c>
      <c r="AO13" s="107" t="inlineStr">
        <is>
          <t>目標</t>
        </is>
      </c>
      <c r="AP13" s="107" t="inlineStr">
        <is>
          <t>実績</t>
        </is>
      </c>
      <c r="AQ13" s="105" t="inlineStr">
        <is>
          <t>達成率</t>
        </is>
      </c>
      <c r="AR13" s="107" t="inlineStr">
        <is>
          <t>目標</t>
        </is>
      </c>
      <c r="AS13" s="107" t="inlineStr">
        <is>
          <t>実績</t>
        </is>
      </c>
      <c r="AT13" s="105" t="inlineStr">
        <is>
          <t>達成率</t>
        </is>
      </c>
      <c r="AU13" s="107" t="inlineStr">
        <is>
          <t>目標</t>
        </is>
      </c>
      <c r="AV13" s="107" t="inlineStr">
        <is>
          <t>実績</t>
        </is>
      </c>
      <c r="AW13" s="105" t="inlineStr">
        <is>
          <t>達成率</t>
        </is>
      </c>
      <c r="BA13" s="54" t="n"/>
    </row>
    <row r="14" ht="80.25" customHeight="1" s="154">
      <c r="B14" s="198" t="inlineStr">
        <is>
          <t>ビルクリーン</t>
        </is>
      </c>
      <c r="C14" s="199" t="n"/>
      <c r="D14" s="200" t="n"/>
      <c r="E14" s="74" t="n">
        <v>0</v>
      </c>
      <c r="F14" s="67" t="n">
        <v>87.90000000000001</v>
      </c>
      <c r="G14" s="93">
        <f>F14/E14</f>
        <v/>
      </c>
      <c r="H14" s="71" t="n">
        <v>400</v>
      </c>
      <c r="I14" s="67" t="n">
        <v>149.4</v>
      </c>
      <c r="J14" s="93">
        <f>I14/H14</f>
        <v/>
      </c>
      <c r="K14" s="67" t="n">
        <v>0</v>
      </c>
      <c r="L14" s="67" t="n">
        <v>67.2</v>
      </c>
      <c r="M14" s="93">
        <f>L14/K14</f>
        <v/>
      </c>
      <c r="N14" s="67" t="n">
        <v>400</v>
      </c>
      <c r="O14" s="67" t="n">
        <v>124.2</v>
      </c>
      <c r="P14" s="93">
        <f>O14/N14</f>
        <v/>
      </c>
      <c r="Q14" s="74" t="n">
        <v>0</v>
      </c>
      <c r="R14" s="67" t="n">
        <v>186</v>
      </c>
      <c r="S14" s="93">
        <f>R14/Q14</f>
        <v/>
      </c>
      <c r="T14" s="67" t="n">
        <v>400</v>
      </c>
      <c r="U14" s="67" t="n">
        <v>82</v>
      </c>
      <c r="V14" s="93">
        <f>U14/T14</f>
        <v/>
      </c>
      <c r="W14" s="67">
        <f>E14+H14+K14+N14+Q14+T14</f>
        <v/>
      </c>
      <c r="X14" s="67">
        <f>F14+I14+L14+O14+R14+U14</f>
        <v/>
      </c>
      <c r="Y14" s="93">
        <f>X14/W14</f>
        <v/>
      </c>
      <c r="Z14" s="74" t="n">
        <v>0</v>
      </c>
      <c r="AA14" s="67" t="n">
        <v>407.4</v>
      </c>
      <c r="AB14" s="93">
        <f>AA14/Z14</f>
        <v/>
      </c>
      <c r="AC14" s="67" t="n">
        <v>400</v>
      </c>
      <c r="AD14" s="67" t="n"/>
      <c r="AE14" s="93">
        <f>AD14/AC14</f>
        <v/>
      </c>
      <c r="AF14" s="67" t="n">
        <v>0</v>
      </c>
      <c r="AG14" s="67" t="n"/>
      <c r="AH14" s="93">
        <f>AG14/AF14</f>
        <v/>
      </c>
      <c r="AI14" s="67" t="n">
        <v>400</v>
      </c>
      <c r="AJ14" s="67" t="n"/>
      <c r="AK14" s="93">
        <f>AJ14/AI14</f>
        <v/>
      </c>
      <c r="AL14" s="67" t="n">
        <v>0</v>
      </c>
      <c r="AM14" s="67" t="n"/>
      <c r="AN14" s="93">
        <f>AM14/AL14</f>
        <v/>
      </c>
      <c r="AO14" s="67" t="n">
        <v>400</v>
      </c>
      <c r="AP14" s="67" t="n"/>
      <c r="AQ14" s="93">
        <f>AP14/AO14</f>
        <v/>
      </c>
      <c r="AR14" s="67">
        <f>Z14+AC14+AF14+AI14+AL14+AO14</f>
        <v/>
      </c>
      <c r="AS14" s="67">
        <f>AA14+AD14+AG14+AJ14+AM14+AP14</f>
        <v/>
      </c>
      <c r="AT14" s="93">
        <f>AS14/AR14</f>
        <v/>
      </c>
      <c r="AU14" s="67">
        <f>W14+AR14</f>
        <v/>
      </c>
      <c r="AV14" s="67">
        <f>X14+AS14</f>
        <v/>
      </c>
      <c r="AW14" s="98">
        <f>AV14/AU14</f>
        <v/>
      </c>
      <c r="AX14" s="191" t="n"/>
      <c r="BA14" s="54" t="n"/>
    </row>
    <row r="15" ht="80.25" customHeight="1" s="154">
      <c r="B15" s="198" t="inlineStr">
        <is>
          <t>外食</t>
        </is>
      </c>
      <c r="C15" s="199" t="n"/>
      <c r="D15" s="200" t="n"/>
      <c r="E15" s="74" t="n">
        <v>0</v>
      </c>
      <c r="F15" s="67" t="n"/>
      <c r="G15" s="93">
        <f>F15/E15</f>
        <v/>
      </c>
      <c r="H15" s="71" t="n">
        <v>0</v>
      </c>
      <c r="I15" s="67" t="n">
        <v>0</v>
      </c>
      <c r="J15" s="93">
        <f>I15/H15</f>
        <v/>
      </c>
      <c r="K15" s="67" t="n">
        <v>0</v>
      </c>
      <c r="L15" s="67" t="n"/>
      <c r="M15" s="93">
        <f>L15/K15</f>
        <v/>
      </c>
      <c r="N15" s="67" t="n">
        <v>0</v>
      </c>
      <c r="O15" s="67" t="n"/>
      <c r="P15" s="93">
        <f>O15/N15</f>
        <v/>
      </c>
      <c r="Q15" s="74" t="n">
        <v>0</v>
      </c>
      <c r="R15" s="67" t="n">
        <v>0</v>
      </c>
      <c r="S15" s="93">
        <f>R15/Q15</f>
        <v/>
      </c>
      <c r="T15" s="67" t="n">
        <v>0</v>
      </c>
      <c r="U15" s="67" t="n">
        <v>0</v>
      </c>
      <c r="V15" s="93">
        <f>U15/T15</f>
        <v/>
      </c>
      <c r="W15" s="67">
        <f>E15+H15+K15+N15+Q15+T15</f>
        <v/>
      </c>
      <c r="X15" s="67">
        <f>F15+I15+L15+O15+R15+U15</f>
        <v/>
      </c>
      <c r="Y15" s="93">
        <f>X15/W15</f>
        <v/>
      </c>
      <c r="Z15" s="74" t="n">
        <v>0</v>
      </c>
      <c r="AA15" s="67" t="n">
        <v>0</v>
      </c>
      <c r="AB15" s="93">
        <f>AA15/Z15</f>
        <v/>
      </c>
      <c r="AC15" s="67" t="n">
        <v>0</v>
      </c>
      <c r="AD15" s="67" t="n"/>
      <c r="AE15" s="93">
        <f>AD15/AC15</f>
        <v/>
      </c>
      <c r="AF15" s="67" t="n">
        <v>0</v>
      </c>
      <c r="AG15" s="67" t="n"/>
      <c r="AH15" s="93">
        <f>AG15/AF15</f>
        <v/>
      </c>
      <c r="AI15" s="67" t="n">
        <v>0</v>
      </c>
      <c r="AJ15" s="67" t="n"/>
      <c r="AK15" s="93">
        <f>AJ15/AI15</f>
        <v/>
      </c>
      <c r="AL15" s="67" t="n">
        <v>0</v>
      </c>
      <c r="AM15" s="67" t="n"/>
      <c r="AN15" s="93">
        <f>AM15/AL15</f>
        <v/>
      </c>
      <c r="AO15" s="67" t="n">
        <v>0</v>
      </c>
      <c r="AP15" s="67" t="n"/>
      <c r="AQ15" s="93">
        <f>AP15/AO15</f>
        <v/>
      </c>
      <c r="AR15" s="67">
        <f>Z15+AC15+AF15+AI15+AL15+AO15</f>
        <v/>
      </c>
      <c r="AS15" s="67">
        <f>AA15+AD15+AG15+AJ15+AM15+AP15</f>
        <v/>
      </c>
      <c r="AT15" s="93">
        <f>AS15/AR15</f>
        <v/>
      </c>
      <c r="AU15" s="67">
        <f>W15+AR15</f>
        <v/>
      </c>
      <c r="AV15" s="67">
        <f>X15+AS15</f>
        <v/>
      </c>
      <c r="AW15" s="98">
        <f>AV15/AU15</f>
        <v/>
      </c>
      <c r="BA15" s="54" t="n"/>
    </row>
    <row r="16" ht="80.25" customHeight="1" s="154">
      <c r="B16" s="198" t="inlineStr">
        <is>
          <t>宿泊</t>
        </is>
      </c>
      <c r="C16" s="199" t="n"/>
      <c r="D16" s="200" t="n"/>
      <c r="E16" s="74" t="n">
        <v>0</v>
      </c>
      <c r="F16" s="67" t="n"/>
      <c r="G16" s="93">
        <f>F16/E16</f>
        <v/>
      </c>
      <c r="H16" s="71" t="n">
        <v>0</v>
      </c>
      <c r="I16" s="67" t="n">
        <v>0</v>
      </c>
      <c r="J16" s="93">
        <f>I16/H16</f>
        <v/>
      </c>
      <c r="K16" s="67" t="n">
        <v>0</v>
      </c>
      <c r="L16" s="67" t="n"/>
      <c r="M16" s="93">
        <f>L16/K16</f>
        <v/>
      </c>
      <c r="N16" s="67" t="n">
        <v>0</v>
      </c>
      <c r="O16" s="67" t="n"/>
      <c r="P16" s="93">
        <f>O16/N16</f>
        <v/>
      </c>
      <c r="Q16" s="74" t="n">
        <v>0</v>
      </c>
      <c r="R16" s="67" t="n">
        <v>0</v>
      </c>
      <c r="S16" s="93">
        <f>R16/Q16</f>
        <v/>
      </c>
      <c r="T16" s="67" t="n">
        <v>0</v>
      </c>
      <c r="U16" s="67" t="n">
        <v>0</v>
      </c>
      <c r="V16" s="93">
        <f>U16/T16</f>
        <v/>
      </c>
      <c r="W16" s="67">
        <f>E16+H16+K16+N16+Q16+T16</f>
        <v/>
      </c>
      <c r="X16" s="67">
        <f>F16+I16+L16+O16+R16+U16</f>
        <v/>
      </c>
      <c r="Y16" s="93">
        <f>X16/W16</f>
        <v/>
      </c>
      <c r="Z16" s="74" t="n">
        <v>0</v>
      </c>
      <c r="AA16" s="67" t="n">
        <v>0</v>
      </c>
      <c r="AB16" s="93">
        <f>AA16/Z16</f>
        <v/>
      </c>
      <c r="AC16" s="67" t="n">
        <v>0</v>
      </c>
      <c r="AD16" s="67" t="n"/>
      <c r="AE16" s="93">
        <f>AD16/AC16</f>
        <v/>
      </c>
      <c r="AF16" s="67" t="n">
        <v>0</v>
      </c>
      <c r="AG16" s="67" t="n"/>
      <c r="AH16" s="93">
        <f>AG16/AF16</f>
        <v/>
      </c>
      <c r="AI16" s="67" t="n">
        <v>0</v>
      </c>
      <c r="AJ16" s="67" t="n"/>
      <c r="AK16" s="93">
        <f>AJ16/AI16</f>
        <v/>
      </c>
      <c r="AL16" s="67" t="n">
        <v>0</v>
      </c>
      <c r="AM16" s="67" t="n"/>
      <c r="AN16" s="93">
        <f>AM16/AL16</f>
        <v/>
      </c>
      <c r="AO16" s="67" t="n">
        <v>0</v>
      </c>
      <c r="AP16" s="67" t="n"/>
      <c r="AQ16" s="93">
        <f>AP16/AO16</f>
        <v/>
      </c>
      <c r="AR16" s="67">
        <f>Z16+AC16+AF16+AI16+AL16+AO16</f>
        <v/>
      </c>
      <c r="AS16" s="67">
        <f>AA16+AD16+AG16+AJ16+AM16+AP16</f>
        <v/>
      </c>
      <c r="AT16" s="93">
        <f>AS16/AR16</f>
        <v/>
      </c>
      <c r="AU16" s="67">
        <f>W16+AR16</f>
        <v/>
      </c>
      <c r="AV16" s="67">
        <f>X16+AS16</f>
        <v/>
      </c>
      <c r="AW16" s="98">
        <f>AV16/AU16</f>
        <v/>
      </c>
      <c r="BA16" s="54" t="n"/>
    </row>
    <row r="17" ht="80.25" customHeight="1" s="154">
      <c r="B17" s="224" t="inlineStr">
        <is>
          <t>小計</t>
        </is>
      </c>
      <c r="C17" s="206" t="n"/>
      <c r="D17" s="207" t="n"/>
      <c r="E17" s="81">
        <f>SUM(E14:E16)</f>
        <v/>
      </c>
      <c r="F17" s="83">
        <f>SUM(F14:F16)</f>
        <v/>
      </c>
      <c r="G17" s="93">
        <f>F17/E17</f>
        <v/>
      </c>
      <c r="H17" s="82">
        <f>SUM(H14:H16)</f>
        <v/>
      </c>
      <c r="I17" s="83">
        <f>SUM(I14:I16)</f>
        <v/>
      </c>
      <c r="J17" s="93">
        <f>I17/H17</f>
        <v/>
      </c>
      <c r="K17" s="83">
        <f>SUM(K14:K16)</f>
        <v/>
      </c>
      <c r="L17" s="83">
        <f>SUM(L14:L16)</f>
        <v/>
      </c>
      <c r="M17" s="93">
        <f>L17/K17</f>
        <v/>
      </c>
      <c r="N17" s="83">
        <f>SUM(N14:N16)</f>
        <v/>
      </c>
      <c r="O17" s="83">
        <f>SUM(O14:O16)</f>
        <v/>
      </c>
      <c r="P17" s="93">
        <f>O17/N17</f>
        <v/>
      </c>
      <c r="Q17" s="81">
        <f>SUM(Q14:Q16)</f>
        <v/>
      </c>
      <c r="R17" s="83">
        <f>SUM(R14:R16)</f>
        <v/>
      </c>
      <c r="S17" s="93">
        <f>R17/Q17</f>
        <v/>
      </c>
      <c r="T17" s="83">
        <f>SUM(T14:T16)</f>
        <v/>
      </c>
      <c r="U17" s="83">
        <f>SUM(U14:U16)</f>
        <v/>
      </c>
      <c r="V17" s="93">
        <f>U17/T17</f>
        <v/>
      </c>
      <c r="W17" s="83">
        <f>SUM(W14:W16)</f>
        <v/>
      </c>
      <c r="X17" s="83">
        <f>SUM(X14:X16)</f>
        <v/>
      </c>
      <c r="Y17" s="93">
        <f>X17/W17</f>
        <v/>
      </c>
      <c r="Z17" s="81">
        <f>SUM(Z14:Z16)</f>
        <v/>
      </c>
      <c r="AA17" s="83">
        <f>SUM(AA14:AA16)</f>
        <v/>
      </c>
      <c r="AB17" s="93">
        <f>AA17/Z17</f>
        <v/>
      </c>
      <c r="AC17" s="83">
        <f>SUM(AC14:AC16)</f>
        <v/>
      </c>
      <c r="AD17" s="83">
        <f>SUM(AD14:AD16)</f>
        <v/>
      </c>
      <c r="AE17" s="93">
        <f>AD17/AC17</f>
        <v/>
      </c>
      <c r="AF17" s="83">
        <f>SUM(AF14:AF16)</f>
        <v/>
      </c>
      <c r="AG17" s="83">
        <f>SUM(AG14:AG16)</f>
        <v/>
      </c>
      <c r="AH17" s="93">
        <f>AG17/AF17</f>
        <v/>
      </c>
      <c r="AI17" s="83">
        <f>SUM(AI14:AI16)</f>
        <v/>
      </c>
      <c r="AJ17" s="83">
        <f>SUM(AJ14:AJ16)</f>
        <v/>
      </c>
      <c r="AK17" s="93">
        <f>AJ17/AI17</f>
        <v/>
      </c>
      <c r="AL17" s="83">
        <f>SUM(AL14:AL16)</f>
        <v/>
      </c>
      <c r="AM17" s="83">
        <f>SUM(AM14:AM16)</f>
        <v/>
      </c>
      <c r="AN17" s="93">
        <f>AM17/AL17</f>
        <v/>
      </c>
      <c r="AO17" s="83">
        <f>SUM(AO14:AO16)</f>
        <v/>
      </c>
      <c r="AP17" s="83">
        <f>SUM(AP14:AP16)</f>
        <v/>
      </c>
      <c r="AQ17" s="93">
        <f>AP17/AO17</f>
        <v/>
      </c>
      <c r="AR17" s="83">
        <f>SUM(AR14:AR16)</f>
        <v/>
      </c>
      <c r="AS17" s="83">
        <f>SUM(AS14:AS16)</f>
        <v/>
      </c>
      <c r="AT17" s="93">
        <f>AS17/AR17</f>
        <v/>
      </c>
      <c r="AU17" s="83">
        <f>SUM(AU14:AU16)</f>
        <v/>
      </c>
      <c r="AV17" s="83">
        <f>SUM(AV14:AV16)</f>
        <v/>
      </c>
      <c r="AW17" s="98">
        <f>AV17/AU17</f>
        <v/>
      </c>
      <c r="AX17" s="191" t="n"/>
      <c r="AY17" s="191" t="n"/>
      <c r="BA17" s="54" t="n"/>
    </row>
    <row r="18" ht="80.25" customHeight="1" s="154">
      <c r="B18" s="213" t="inlineStr">
        <is>
          <t>内部紹介</t>
        </is>
      </c>
      <c r="C18" s="202" t="n"/>
      <c r="D18" s="203" t="n"/>
      <c r="E18" s="109" t="inlineStr">
        <is>
          <t>目標</t>
        </is>
      </c>
      <c r="F18" s="110" t="inlineStr">
        <is>
          <t>実績</t>
        </is>
      </c>
      <c r="G18" s="111" t="inlineStr">
        <is>
          <t>達成率</t>
        </is>
      </c>
      <c r="H18" s="112" t="inlineStr">
        <is>
          <t>目標</t>
        </is>
      </c>
      <c r="I18" s="113" t="inlineStr">
        <is>
          <t>実績</t>
        </is>
      </c>
      <c r="J18" s="111" t="inlineStr">
        <is>
          <t>達成率</t>
        </is>
      </c>
      <c r="K18" s="113" t="inlineStr">
        <is>
          <t>目標</t>
        </is>
      </c>
      <c r="L18" s="113" t="inlineStr">
        <is>
          <t>実績</t>
        </is>
      </c>
      <c r="M18" s="111" t="inlineStr">
        <is>
          <t>達成率</t>
        </is>
      </c>
      <c r="N18" s="113" t="inlineStr">
        <is>
          <t>目標</t>
        </is>
      </c>
      <c r="O18" s="113" t="inlineStr">
        <is>
          <t>実績</t>
        </is>
      </c>
      <c r="P18" s="111" t="inlineStr">
        <is>
          <t>達成率</t>
        </is>
      </c>
      <c r="Q18" s="109" t="inlineStr">
        <is>
          <t>目標</t>
        </is>
      </c>
      <c r="R18" s="113" t="inlineStr">
        <is>
          <t>実績</t>
        </is>
      </c>
      <c r="S18" s="111" t="inlineStr">
        <is>
          <t>達成率</t>
        </is>
      </c>
      <c r="T18" s="113" t="inlineStr">
        <is>
          <t>目標</t>
        </is>
      </c>
      <c r="U18" s="113" t="inlineStr">
        <is>
          <t>実績</t>
        </is>
      </c>
      <c r="V18" s="111" t="inlineStr">
        <is>
          <t>達成率</t>
        </is>
      </c>
      <c r="W18" s="113" t="inlineStr">
        <is>
          <t>目標</t>
        </is>
      </c>
      <c r="X18" s="113" t="inlineStr">
        <is>
          <t>実績</t>
        </is>
      </c>
      <c r="Y18" s="111" t="inlineStr">
        <is>
          <t>達成率</t>
        </is>
      </c>
      <c r="Z18" s="109" t="inlineStr">
        <is>
          <t>目標</t>
        </is>
      </c>
      <c r="AA18" s="113" t="inlineStr">
        <is>
          <t>実績</t>
        </is>
      </c>
      <c r="AB18" s="111" t="inlineStr">
        <is>
          <t>達成率</t>
        </is>
      </c>
      <c r="AC18" s="113" t="inlineStr">
        <is>
          <t>目標</t>
        </is>
      </c>
      <c r="AD18" s="113" t="inlineStr">
        <is>
          <t>実績</t>
        </is>
      </c>
      <c r="AE18" s="111" t="inlineStr">
        <is>
          <t>達成率</t>
        </is>
      </c>
      <c r="AF18" s="113" t="inlineStr">
        <is>
          <t>目標</t>
        </is>
      </c>
      <c r="AG18" s="113" t="inlineStr">
        <is>
          <t>実績</t>
        </is>
      </c>
      <c r="AH18" s="111" t="inlineStr">
        <is>
          <t>達成率</t>
        </is>
      </c>
      <c r="AI18" s="113" t="inlineStr">
        <is>
          <t>目標</t>
        </is>
      </c>
      <c r="AJ18" s="113" t="inlineStr">
        <is>
          <t>実績</t>
        </is>
      </c>
      <c r="AK18" s="111" t="inlineStr">
        <is>
          <t>達成率</t>
        </is>
      </c>
      <c r="AL18" s="113" t="inlineStr">
        <is>
          <t>目標</t>
        </is>
      </c>
      <c r="AM18" s="113" t="inlineStr">
        <is>
          <t>実績</t>
        </is>
      </c>
      <c r="AN18" s="111" t="inlineStr">
        <is>
          <t>達成率</t>
        </is>
      </c>
      <c r="AO18" s="113" t="inlineStr">
        <is>
          <t>目標</t>
        </is>
      </c>
      <c r="AP18" s="113" t="inlineStr">
        <is>
          <t>実績</t>
        </is>
      </c>
      <c r="AQ18" s="111" t="inlineStr">
        <is>
          <t>達成率</t>
        </is>
      </c>
      <c r="AR18" s="113" t="inlineStr">
        <is>
          <t>目標</t>
        </is>
      </c>
      <c r="AS18" s="113" t="inlineStr">
        <is>
          <t>実績</t>
        </is>
      </c>
      <c r="AT18" s="111" t="inlineStr">
        <is>
          <t>達成率</t>
        </is>
      </c>
      <c r="AU18" s="113" t="inlineStr">
        <is>
          <t>目標</t>
        </is>
      </c>
      <c r="AV18" s="113" t="inlineStr">
        <is>
          <t>実績</t>
        </is>
      </c>
      <c r="AW18" s="111" t="inlineStr">
        <is>
          <t>達成率</t>
        </is>
      </c>
      <c r="AX18" s="191" t="n"/>
      <c r="AY18" s="191" t="n"/>
      <c r="BA18" s="54" t="n"/>
    </row>
    <row r="19" ht="80.25" customHeight="1" s="154">
      <c r="B19" s="214" t="inlineStr">
        <is>
          <t>技人国　　　　　　　　　　　　　　　　　　　　　N１／３０％　N2／２０％　N3／１５％</t>
        </is>
      </c>
      <c r="C19" s="199" t="n"/>
      <c r="D19" s="200" t="n"/>
      <c r="E19" s="74" t="n"/>
      <c r="F19" s="67" t="n"/>
      <c r="G19" s="93">
        <f>F19/E19</f>
        <v/>
      </c>
      <c r="H19" s="71" t="n"/>
      <c r="I19" s="67" t="n">
        <v>400</v>
      </c>
      <c r="J19" s="93">
        <f>I19/H19</f>
        <v/>
      </c>
      <c r="K19" s="67" t="n"/>
      <c r="L19" s="67" t="n">
        <v>800</v>
      </c>
      <c r="M19" s="93">
        <f>L19/K19</f>
        <v/>
      </c>
      <c r="N19" s="67" t="n"/>
      <c r="O19" s="67" t="n"/>
      <c r="P19" s="93">
        <f>O19/N19</f>
        <v/>
      </c>
      <c r="Q19" s="74" t="n"/>
      <c r="R19" s="67" t="n">
        <v>0</v>
      </c>
      <c r="S19" s="93">
        <f>R19/Q19</f>
        <v/>
      </c>
      <c r="T19" s="67" t="n"/>
      <c r="U19" s="67" t="n">
        <v>0</v>
      </c>
      <c r="V19" s="93">
        <f>U19/T19</f>
        <v/>
      </c>
      <c r="W19" s="67">
        <f>E19+H19+K19+N19+Q19+T19</f>
        <v/>
      </c>
      <c r="X19" s="67">
        <f>F19+I19+L19+O19+R19+U19</f>
        <v/>
      </c>
      <c r="Y19" s="93">
        <f>X19/W19</f>
        <v/>
      </c>
      <c r="Z19" s="74" t="n"/>
      <c r="AA19" s="67" t="n">
        <v>0</v>
      </c>
      <c r="AB19" s="93">
        <f>AA19/Z19</f>
        <v/>
      </c>
      <c r="AC19" s="67" t="n"/>
      <c r="AD19" s="67" t="n"/>
      <c r="AE19" s="93">
        <f>AD19/AC19</f>
        <v/>
      </c>
      <c r="AF19" s="67" t="n"/>
      <c r="AG19" s="67" t="n"/>
      <c r="AH19" s="93">
        <f>AG19/AF19</f>
        <v/>
      </c>
      <c r="AI19" s="67" t="n"/>
      <c r="AJ19" s="67" t="n"/>
      <c r="AK19" s="93">
        <f>AJ19/AI19</f>
        <v/>
      </c>
      <c r="AL19" s="67" t="n"/>
      <c r="AM19" s="67" t="n"/>
      <c r="AN19" s="93">
        <f>AM19/AL19</f>
        <v/>
      </c>
      <c r="AO19" s="67" t="n"/>
      <c r="AP19" s="67" t="n"/>
      <c r="AQ19" s="93">
        <f>AP19/AO19</f>
        <v/>
      </c>
      <c r="AR19" s="67">
        <f>Z19+AC19+AF19+AI19+AL19+AO19</f>
        <v/>
      </c>
      <c r="AS19" s="67">
        <f>AA19+AD19+AG19+AJ19+AM19+AP19</f>
        <v/>
      </c>
      <c r="AT19" s="93">
        <f>AS19/AR19</f>
        <v/>
      </c>
      <c r="AU19" s="67">
        <f>W19+AR19</f>
        <v/>
      </c>
      <c r="AV19" s="67">
        <f>X19+AS19</f>
        <v/>
      </c>
      <c r="AW19" s="98">
        <f>AV19/AU19</f>
        <v/>
      </c>
      <c r="AX19" s="191" t="n"/>
      <c r="AY19" s="191" t="n"/>
      <c r="BA19" s="54" t="n"/>
    </row>
    <row r="20" ht="80.25" customHeight="1" s="154">
      <c r="B20" s="198" t="inlineStr">
        <is>
          <t>特定技能（一律２0万）✕　〇人</t>
        </is>
      </c>
      <c r="C20" s="199" t="n"/>
      <c r="D20" s="200" t="n"/>
      <c r="E20" s="74" t="n">
        <v>3000</v>
      </c>
      <c r="F20" s="67" t="n">
        <v>800</v>
      </c>
      <c r="G20" s="93">
        <f>F20/E20</f>
        <v/>
      </c>
      <c r="H20" s="71" t="n">
        <v>3000</v>
      </c>
      <c r="I20" s="67" t="n">
        <v>2400</v>
      </c>
      <c r="J20" s="93">
        <f>I20/H20</f>
        <v/>
      </c>
      <c r="K20" s="67" t="n">
        <v>3000</v>
      </c>
      <c r="L20" s="67" t="n">
        <v>2400</v>
      </c>
      <c r="M20" s="93">
        <f>L20/K20</f>
        <v/>
      </c>
      <c r="N20" s="67" t="n">
        <v>3000</v>
      </c>
      <c r="O20" s="67" t="n">
        <v>1000</v>
      </c>
      <c r="P20" s="93">
        <f>O20/N20</f>
        <v/>
      </c>
      <c r="Q20" s="74" t="n">
        <v>3000</v>
      </c>
      <c r="R20" s="67" t="n">
        <v>600</v>
      </c>
      <c r="S20" s="93">
        <f>R20/Q20</f>
        <v/>
      </c>
      <c r="T20" s="67" t="n">
        <v>3000</v>
      </c>
      <c r="U20" s="67" t="n">
        <v>1200</v>
      </c>
      <c r="V20" s="93">
        <f>U20/T20</f>
        <v/>
      </c>
      <c r="W20" s="67">
        <f>E20+H20+K20+N20+Q20+T20</f>
        <v/>
      </c>
      <c r="X20" s="67">
        <f>F20+I20+L20+O20+R20+U20</f>
        <v/>
      </c>
      <c r="Y20" s="93">
        <f>X20/W20</f>
        <v/>
      </c>
      <c r="Z20" s="74" t="n">
        <v>3000</v>
      </c>
      <c r="AA20" s="67" t="n">
        <v>800</v>
      </c>
      <c r="AB20" s="93">
        <f>AA20/Z20</f>
        <v/>
      </c>
      <c r="AC20" s="67" t="n">
        <v>3000</v>
      </c>
      <c r="AD20" s="67" t="n"/>
      <c r="AE20" s="93">
        <f>AD20/AC20</f>
        <v/>
      </c>
      <c r="AF20" s="67" t="n">
        <v>3000</v>
      </c>
      <c r="AG20" s="67" t="n"/>
      <c r="AH20" s="93">
        <f>AG20/AF20</f>
        <v/>
      </c>
      <c r="AI20" s="67" t="n">
        <v>3000</v>
      </c>
      <c r="AJ20" s="67" t="n"/>
      <c r="AK20" s="93">
        <f>AJ20/AI20</f>
        <v/>
      </c>
      <c r="AL20" s="67" t="n">
        <v>3000</v>
      </c>
      <c r="AM20" s="67" t="n"/>
      <c r="AN20" s="93">
        <f>AM20/AL20</f>
        <v/>
      </c>
      <c r="AO20" s="67" t="n">
        <v>3000</v>
      </c>
      <c r="AP20" s="67" t="n"/>
      <c r="AQ20" s="93">
        <f>AP20/AO20</f>
        <v/>
      </c>
      <c r="AR20" s="67">
        <f>Z20+AC20+AF20+AI20+AL20+AO20</f>
        <v/>
      </c>
      <c r="AS20" s="67">
        <f>AA20+AD20+AG20+AJ20+AM20+AP20</f>
        <v/>
      </c>
      <c r="AT20" s="93">
        <f>AS20/AR20</f>
        <v/>
      </c>
      <c r="AU20" s="67">
        <f>W20+AR20</f>
        <v/>
      </c>
      <c r="AV20" s="67">
        <f>X20+AS20</f>
        <v/>
      </c>
      <c r="AW20" s="98">
        <f>AV20/AU20</f>
        <v/>
      </c>
      <c r="AX20" s="191" t="n"/>
      <c r="AY20" s="191" t="n"/>
      <c r="BA20" s="54" t="n"/>
    </row>
    <row r="21" ht="80.25" customHeight="1" s="154">
      <c r="B21" s="198" t="inlineStr">
        <is>
          <t>アルバイト(3万円／人）</t>
        </is>
      </c>
      <c r="C21" s="199" t="n"/>
      <c r="D21" s="200" t="n"/>
      <c r="E21" s="74" t="n"/>
      <c r="F21" s="67" t="n">
        <v>720</v>
      </c>
      <c r="G21" s="93">
        <f>F21/E21</f>
        <v/>
      </c>
      <c r="H21" s="71" t="n"/>
      <c r="I21" s="67" t="n">
        <v>390</v>
      </c>
      <c r="J21" s="93">
        <f>I21/H21</f>
        <v/>
      </c>
      <c r="K21" s="67" t="n"/>
      <c r="L21" s="67" t="n">
        <v>450</v>
      </c>
      <c r="M21" s="93">
        <f>L21/K21</f>
        <v/>
      </c>
      <c r="N21" s="67" t="n"/>
      <c r="O21" s="67" t="n">
        <v>210</v>
      </c>
      <c r="P21" s="93">
        <f>O21/N21</f>
        <v/>
      </c>
      <c r="Q21" s="74" t="n"/>
      <c r="R21" s="67" t="n">
        <v>870</v>
      </c>
      <c r="S21" s="93">
        <f>R21/Q21</f>
        <v/>
      </c>
      <c r="T21" s="67" t="n"/>
      <c r="U21" s="67" t="n">
        <v>630</v>
      </c>
      <c r="V21" s="93">
        <f>U21/T21</f>
        <v/>
      </c>
      <c r="W21" s="67">
        <f>E21+H21+K21+N21+Q21+T21</f>
        <v/>
      </c>
      <c r="X21" s="67">
        <f>F21+I21+L21+O21+R21+U21</f>
        <v/>
      </c>
      <c r="Y21" s="93">
        <f>X21/W21</f>
        <v/>
      </c>
      <c r="Z21" s="74" t="n"/>
      <c r="AA21" s="67" t="n">
        <v>390</v>
      </c>
      <c r="AB21" s="93">
        <f>AA21/Z21</f>
        <v/>
      </c>
      <c r="AC21" s="67" t="n"/>
      <c r="AD21" s="67" t="n"/>
      <c r="AE21" s="93">
        <f>AD21/AC21</f>
        <v/>
      </c>
      <c r="AF21" s="67" t="n"/>
      <c r="AG21" s="67" t="n"/>
      <c r="AH21" s="93">
        <f>AG21/AF21</f>
        <v/>
      </c>
      <c r="AI21" s="67" t="n"/>
      <c r="AJ21" s="67" t="n"/>
      <c r="AK21" s="93">
        <f>AJ21/AI21</f>
        <v/>
      </c>
      <c r="AL21" s="67" t="n"/>
      <c r="AM21" s="67" t="n"/>
      <c r="AN21" s="93">
        <f>AM21/AL21</f>
        <v/>
      </c>
      <c r="AO21" s="67" t="n"/>
      <c r="AP21" s="67" t="n"/>
      <c r="AQ21" s="93">
        <f>AP21/AO21</f>
        <v/>
      </c>
      <c r="AR21" s="67">
        <f>Z21+AC21+AF21+AI21+AL21+AO21</f>
        <v/>
      </c>
      <c r="AS21" s="67">
        <f>AA21+AD21+AG21+AJ21+AM21+AP21</f>
        <v/>
      </c>
      <c r="AT21" s="93">
        <f>AS21/AR21</f>
        <v/>
      </c>
      <c r="AU21" s="67">
        <f>W21+AR21</f>
        <v/>
      </c>
      <c r="AV21" s="67">
        <f>X21+AS21</f>
        <v/>
      </c>
      <c r="AW21" s="98">
        <f>AV21/AU21</f>
        <v/>
      </c>
      <c r="AX21" s="191" t="n"/>
      <c r="AY21" s="191" t="n"/>
      <c r="BA21" s="54" t="n"/>
    </row>
    <row r="22" ht="80.25" customHeight="1" s="154">
      <c r="B22" s="215" t="inlineStr">
        <is>
          <t>支援人数(1万円／人）</t>
        </is>
      </c>
      <c r="C22" s="216" t="n"/>
      <c r="D22" s="217" t="n"/>
      <c r="E22" s="74" t="n">
        <v>1500</v>
      </c>
      <c r="F22" s="67" t="n">
        <v>1550</v>
      </c>
      <c r="G22" s="93">
        <f>F22/E22</f>
        <v/>
      </c>
      <c r="H22" s="71" t="n">
        <v>1500</v>
      </c>
      <c r="I22" s="67" t="n">
        <v>1630</v>
      </c>
      <c r="J22" s="93">
        <f>I22/H22</f>
        <v/>
      </c>
      <c r="K22" s="67" t="n">
        <v>1500</v>
      </c>
      <c r="L22" s="67" t="n">
        <v>1760</v>
      </c>
      <c r="M22" s="93">
        <f>L22/K22</f>
        <v/>
      </c>
      <c r="N22" s="67" t="n">
        <v>1500</v>
      </c>
      <c r="O22" s="67" t="n">
        <v>1850</v>
      </c>
      <c r="P22" s="93">
        <f>O22/N22</f>
        <v/>
      </c>
      <c r="Q22" s="74" t="n">
        <v>1500</v>
      </c>
      <c r="R22" s="67" t="n">
        <v>1870</v>
      </c>
      <c r="S22" s="93">
        <f>R22/Q22</f>
        <v/>
      </c>
      <c r="T22" s="67" t="n">
        <v>1500</v>
      </c>
      <c r="U22" s="67" t="n">
        <v>1900</v>
      </c>
      <c r="V22" s="93">
        <f>U22/T22</f>
        <v/>
      </c>
      <c r="W22" s="67">
        <f>E22+H22+K22+N22+Q22+T22</f>
        <v/>
      </c>
      <c r="X22" s="67">
        <f>F22+I22+L22+O22+R22+U22</f>
        <v/>
      </c>
      <c r="Y22" s="93">
        <f>X22/W22</f>
        <v/>
      </c>
      <c r="Z22" s="74" t="n">
        <v>1500</v>
      </c>
      <c r="AA22" s="67" t="n">
        <v>1940</v>
      </c>
      <c r="AB22" s="93">
        <f>AA22/Z22</f>
        <v/>
      </c>
      <c r="AC22" s="67" t="n">
        <v>1500</v>
      </c>
      <c r="AD22" s="67" t="n"/>
      <c r="AE22" s="93">
        <f>AD22/AC22</f>
        <v/>
      </c>
      <c r="AF22" s="67" t="n">
        <v>1500</v>
      </c>
      <c r="AG22" s="67" t="n"/>
      <c r="AH22" s="93">
        <f>AG22/AF22</f>
        <v/>
      </c>
      <c r="AI22" s="67" t="n">
        <v>1500</v>
      </c>
      <c r="AJ22" s="67" t="n"/>
      <c r="AK22" s="93">
        <f>AJ22/AI22</f>
        <v/>
      </c>
      <c r="AL22" s="67" t="n">
        <v>1500</v>
      </c>
      <c r="AM22" s="67" t="n"/>
      <c r="AN22" s="93">
        <f>AM22/AL22</f>
        <v/>
      </c>
      <c r="AO22" s="67" t="n">
        <v>1500</v>
      </c>
      <c r="AP22" s="67" t="n"/>
      <c r="AQ22" s="93">
        <f>AP22/AO22</f>
        <v/>
      </c>
      <c r="AR22" s="67">
        <f>Z22+AC22+AF22+AI22+AL22+AO22</f>
        <v/>
      </c>
      <c r="AS22" s="67">
        <f>AA22+AD22+AG22+AJ22+AM22+AP22</f>
        <v/>
      </c>
      <c r="AT22" s="93">
        <f>AS22/AR22</f>
        <v/>
      </c>
      <c r="AU22" s="67">
        <f>W22+AR22</f>
        <v/>
      </c>
      <c r="AV22" s="67">
        <f>X22+AS22</f>
        <v/>
      </c>
      <c r="AW22" s="98">
        <f>AV22/AU22</f>
        <v/>
      </c>
      <c r="AX22" s="191" t="n"/>
      <c r="AY22" s="191" t="n"/>
      <c r="BA22" s="54" t="n"/>
    </row>
    <row r="23" ht="104" customHeight="1" s="154" thickBot="1">
      <c r="B23" s="223" t="inlineStr">
        <is>
          <t>小計</t>
        </is>
      </c>
      <c r="C23" s="187" t="n"/>
      <c r="D23" s="188" t="n"/>
      <c r="E23" s="99">
        <f>SUM(E19:E22)</f>
        <v/>
      </c>
      <c r="F23" s="91">
        <f>SUM(F19:F22)</f>
        <v/>
      </c>
      <c r="G23" s="88">
        <f>F23/E23</f>
        <v/>
      </c>
      <c r="H23" s="82">
        <f>SUM(H19:H22)</f>
        <v/>
      </c>
      <c r="I23" s="83">
        <f>SUM(I19:I22)</f>
        <v/>
      </c>
      <c r="J23" s="88">
        <f>I23/H23</f>
        <v/>
      </c>
      <c r="K23" s="83">
        <f>SUM(K19:K22)</f>
        <v/>
      </c>
      <c r="L23" s="83">
        <f>SUM(L19:L22)</f>
        <v/>
      </c>
      <c r="M23" s="88">
        <f>L23/K23</f>
        <v/>
      </c>
      <c r="N23" s="83">
        <f>SUM(N19:N22)</f>
        <v/>
      </c>
      <c r="O23" s="87">
        <f>SUM(O19:O22)</f>
        <v/>
      </c>
      <c r="P23" s="88">
        <f>O23/N23</f>
        <v/>
      </c>
      <c r="Q23" s="115">
        <f>SUM(Q19:Q22)</f>
        <v/>
      </c>
      <c r="R23" s="116">
        <f>SUM(R19:R22)</f>
        <v/>
      </c>
      <c r="S23" s="117">
        <f>R23/Q23</f>
        <v/>
      </c>
      <c r="T23" s="100">
        <f>SUM(T19:T22)</f>
        <v/>
      </c>
      <c r="U23" s="83">
        <f>SUM(U19:U22)</f>
        <v/>
      </c>
      <c r="V23" s="88">
        <f>U23/T23</f>
        <v/>
      </c>
      <c r="W23" s="82">
        <f>SUM(W19:W22)</f>
        <v/>
      </c>
      <c r="X23" s="83">
        <f>SUM(X19:X22)</f>
        <v/>
      </c>
      <c r="Y23" s="101">
        <f>X23/W23</f>
        <v/>
      </c>
      <c r="Z23" s="118">
        <f>SUM(Z19:Z22)</f>
        <v/>
      </c>
      <c r="AA23" s="116">
        <f>SUM(AA19:AA22)</f>
        <v/>
      </c>
      <c r="AB23" s="117">
        <f>AA23/Z23</f>
        <v/>
      </c>
      <c r="AC23" s="83">
        <f>SUM(AC19:AC22)</f>
        <v/>
      </c>
      <c r="AD23" s="83">
        <f>SUM(AD19:AD22)</f>
        <v/>
      </c>
      <c r="AE23" s="88">
        <f>AD23/AC23</f>
        <v/>
      </c>
      <c r="AF23" s="83">
        <f>SUM(AF19:AF22)</f>
        <v/>
      </c>
      <c r="AG23" s="83">
        <f>SUM(AG19:AG22)</f>
        <v/>
      </c>
      <c r="AH23" s="88">
        <f>AG23/AF23</f>
        <v/>
      </c>
      <c r="AI23" s="83">
        <f>SUM(AI19:AI22)</f>
        <v/>
      </c>
      <c r="AJ23" s="83">
        <f>SUM(AJ19:AJ22)</f>
        <v/>
      </c>
      <c r="AK23" s="88">
        <f>AJ23/AI23</f>
        <v/>
      </c>
      <c r="AL23" s="83">
        <f>SUM(AL19:AL22)</f>
        <v/>
      </c>
      <c r="AM23" s="83">
        <f>SUM(AM19:AM22)</f>
        <v/>
      </c>
      <c r="AN23" s="88">
        <f>AM23/AL23</f>
        <v/>
      </c>
      <c r="AO23" s="83">
        <f>SUM(AO19:AO22)</f>
        <v/>
      </c>
      <c r="AP23" s="83">
        <f>SUM(AP19:AP22)</f>
        <v/>
      </c>
      <c r="AQ23" s="88">
        <f>AP23/AO23</f>
        <v/>
      </c>
      <c r="AR23" s="83">
        <f>SUM(AR19:AR22)</f>
        <v/>
      </c>
      <c r="AS23" s="83">
        <f>SUM(AS19:AS22)</f>
        <v/>
      </c>
      <c r="AT23" s="101">
        <f>AS23/AR23</f>
        <v/>
      </c>
      <c r="AU23" s="83">
        <f>SUM(AU19:AU22)</f>
        <v/>
      </c>
      <c r="AV23" s="83">
        <f>SUM(AV19:AV22)</f>
        <v/>
      </c>
      <c r="AW23" s="102">
        <f>AV23/AU23</f>
        <v/>
      </c>
    </row>
    <row r="24" ht="141.75" customFormat="1" customHeight="1" s="181">
      <c r="A24" s="64" t="n"/>
      <c r="O24" s="80" t="n"/>
      <c r="AU24" s="84" t="n"/>
      <c r="AV24" s="84" t="n"/>
      <c r="AW24" s="84" t="n"/>
    </row>
    <row r="25" ht="80.25" customHeight="1" s="154">
      <c r="B25" s="210" t="n"/>
      <c r="C25" s="210" t="n"/>
      <c r="D25" s="210" t="n"/>
      <c r="E25" s="210" t="n"/>
      <c r="G25" s="210" t="n"/>
      <c r="H25" s="210" t="n"/>
      <c r="I25" s="210" t="n"/>
      <c r="J25" s="210" t="n"/>
      <c r="K25" s="210" t="n"/>
      <c r="L25" s="210" t="n"/>
      <c r="M25" s="210" t="n"/>
      <c r="N25" s="210" t="n"/>
      <c r="O25" s="210" t="n"/>
      <c r="P25" s="210" t="n"/>
      <c r="Q25" s="210" t="n"/>
      <c r="R25" s="210" t="n"/>
      <c r="S25" s="210" t="n"/>
      <c r="T25" s="210" t="n"/>
      <c r="U25" s="210" t="n"/>
      <c r="V25" s="210" t="n"/>
      <c r="W25" s="210" t="n"/>
      <c r="X25" s="210" t="n"/>
      <c r="Y25" s="210" t="n"/>
      <c r="Z25" s="210" t="n"/>
      <c r="AA25" s="210" t="n"/>
      <c r="AB25" s="210" t="n"/>
      <c r="AC25" s="210" t="n"/>
      <c r="AD25" s="210" t="n"/>
      <c r="AE25" s="210" t="n"/>
      <c r="AF25" s="210" t="n"/>
      <c r="AG25" s="210" t="n"/>
      <c r="AH25" s="210" t="n"/>
      <c r="AI25" s="210" t="n"/>
      <c r="AJ25" s="210" t="n"/>
      <c r="AK25" s="210" t="n"/>
      <c r="AL25" s="210" t="n"/>
      <c r="AM25" s="210" t="n"/>
      <c r="AN25" s="210" t="n"/>
      <c r="AO25" s="210" t="n"/>
      <c r="AP25" s="210" t="n"/>
      <c r="AQ25" s="210" t="n"/>
      <c r="AR25" s="210" t="n"/>
      <c r="AS25" s="210" t="n"/>
      <c r="AT25" s="210" t="n"/>
      <c r="AU25" s="210" t="n"/>
      <c r="AV25" s="210" t="n"/>
      <c r="AW25" s="210" t="n"/>
    </row>
    <row r="26" ht="20.25" customFormat="1" customHeight="1" s="192">
      <c r="A26" s="54" t="n"/>
      <c r="B26" s="55" t="n"/>
      <c r="E26" s="191" t="n"/>
      <c r="F26" s="191" t="n"/>
      <c r="G26" s="191" t="n"/>
      <c r="H26" s="191" t="n"/>
      <c r="I26" s="211" t="n"/>
      <c r="J26" s="191" t="n"/>
      <c r="K26" s="211" t="n"/>
      <c r="L26" s="191" t="n"/>
      <c r="M26" s="191" t="n"/>
      <c r="N26" s="191" t="n"/>
      <c r="O26" s="191" t="n"/>
      <c r="P26" s="191" t="n"/>
      <c r="Q26" s="191" t="n"/>
      <c r="R26" s="191" t="n"/>
      <c r="S26" s="191" t="n"/>
      <c r="T26" s="191" t="n"/>
      <c r="U26" s="191" t="n"/>
      <c r="V26" s="191" t="n"/>
      <c r="W26" s="191" t="n"/>
      <c r="X26" s="191" t="n"/>
      <c r="Y26" s="211" t="n"/>
      <c r="Z26" s="191" t="n"/>
      <c r="AA26" s="191" t="n"/>
      <c r="AB26" s="191" t="n"/>
      <c r="AC26" s="191" t="n"/>
      <c r="AD26" s="211" t="n"/>
      <c r="AE26" s="191" t="n"/>
      <c r="AF26" s="211" t="n"/>
      <c r="AG26" s="191" t="n"/>
      <c r="AH26" s="191" t="n"/>
      <c r="AI26" s="191" t="n"/>
      <c r="AJ26" s="191" t="n"/>
      <c r="AK26" s="191" t="n"/>
      <c r="AL26" s="191" t="n"/>
      <c r="AM26" s="191" t="n"/>
      <c r="AN26" s="191" t="n"/>
      <c r="AO26" s="191" t="n"/>
      <c r="AP26" s="191" t="n"/>
      <c r="AQ26" s="191" t="n"/>
      <c r="AR26" s="191" t="n"/>
      <c r="AS26" s="191" t="n"/>
      <c r="AT26" s="211" t="n"/>
      <c r="AU26" s="191" t="n"/>
      <c r="AV26" s="191" t="n"/>
      <c r="AW26" s="66" t="n"/>
      <c r="BB26" s="59" t="n"/>
      <c r="BC26" s="59" t="n"/>
      <c r="BD26" s="59" t="n"/>
      <c r="BE26" s="59" t="n"/>
      <c r="BF26" s="59" t="n"/>
      <c r="BG26" s="59" t="n"/>
    </row>
    <row r="27" ht="20.25" customFormat="1" customHeight="1" s="192">
      <c r="A27" s="54" t="n"/>
      <c r="B27" s="55" t="n"/>
      <c r="E27" s="191" t="n"/>
      <c r="F27" s="191" t="n"/>
      <c r="G27" s="191" t="n"/>
      <c r="H27" s="191" t="n"/>
      <c r="I27" s="211" t="n"/>
      <c r="J27" s="191" t="n"/>
      <c r="K27" s="211" t="n"/>
      <c r="L27" s="191" t="n"/>
      <c r="M27" s="191" t="n"/>
      <c r="N27" s="191" t="n"/>
      <c r="O27" s="191" t="n"/>
      <c r="P27" s="191" t="n"/>
      <c r="Q27" s="191" t="n"/>
      <c r="R27" s="191" t="n"/>
      <c r="S27" s="191" t="n"/>
      <c r="T27" s="191" t="n"/>
      <c r="U27" s="191" t="n"/>
      <c r="V27" s="191" t="n"/>
      <c r="W27" s="191" t="n"/>
      <c r="X27" s="191" t="n"/>
      <c r="Y27" s="211" t="n"/>
      <c r="Z27" s="191" t="n"/>
      <c r="AA27" s="191" t="n"/>
      <c r="AB27" s="191" t="n"/>
      <c r="AC27" s="191" t="n"/>
      <c r="AD27" s="211" t="n"/>
      <c r="AE27" s="191" t="n"/>
      <c r="AF27" s="211" t="n"/>
      <c r="AG27" s="191" t="n"/>
      <c r="AH27" s="191" t="n"/>
      <c r="AI27" s="191" t="n"/>
      <c r="AJ27" s="191" t="n"/>
      <c r="AK27" s="191" t="n"/>
      <c r="AL27" s="191" t="n"/>
      <c r="AM27" s="191" t="n"/>
      <c r="AN27" s="191" t="n"/>
      <c r="AO27" s="191" t="n"/>
      <c r="AP27" s="191" t="n"/>
      <c r="AQ27" s="191" t="n"/>
      <c r="AR27" s="191" t="n"/>
      <c r="AS27" s="191" t="n"/>
      <c r="AT27" s="211" t="n"/>
      <c r="AU27" s="191" t="n"/>
      <c r="AV27" s="191" t="n"/>
      <c r="AW27" s="66" t="n"/>
      <c r="BB27" s="59" t="n"/>
      <c r="BC27" s="59" t="n"/>
      <c r="BD27" s="59" t="n"/>
      <c r="BE27" s="59" t="n"/>
      <c r="BF27" s="59" t="n"/>
      <c r="BG27" s="59" t="n"/>
    </row>
    <row r="28" ht="20.25" customFormat="1" customHeight="1" s="192">
      <c r="A28" s="54" t="n"/>
      <c r="B28" s="55" t="n"/>
      <c r="E28" s="191" t="n"/>
      <c r="F28" s="191" t="n"/>
      <c r="G28" s="191" t="n"/>
      <c r="H28" s="191" t="n"/>
      <c r="I28" s="211" t="n"/>
      <c r="J28" s="191" t="n"/>
      <c r="K28" s="211" t="n"/>
      <c r="L28" s="211" t="n"/>
      <c r="M28" s="191" t="n"/>
      <c r="N28" s="211" t="n"/>
      <c r="O28" s="211" t="n"/>
      <c r="P28" s="191" t="n"/>
      <c r="Q28" s="211" t="n"/>
      <c r="R28" s="211" t="n"/>
      <c r="S28" s="191" t="n"/>
      <c r="T28" s="211" t="n"/>
      <c r="U28" s="211" t="n"/>
      <c r="V28" s="191" t="n"/>
      <c r="W28" s="211" t="n"/>
      <c r="X28" s="211" t="n"/>
      <c r="Y28" s="211" t="n"/>
      <c r="Z28" s="191" t="n"/>
      <c r="AA28" s="191" t="n"/>
      <c r="AB28" s="191" t="n"/>
      <c r="AC28" s="191" t="n"/>
      <c r="AD28" s="211" t="n"/>
      <c r="AE28" s="191" t="n"/>
      <c r="AF28" s="211" t="n"/>
      <c r="AG28" s="211" t="n"/>
      <c r="AH28" s="191" t="n"/>
      <c r="AI28" s="211" t="n"/>
      <c r="AJ28" s="211" t="n"/>
      <c r="AK28" s="191" t="n"/>
      <c r="AL28" s="211" t="n"/>
      <c r="AM28" s="211" t="n"/>
      <c r="AN28" s="191" t="n"/>
      <c r="AO28" s="211" t="n"/>
      <c r="AP28" s="211" t="n"/>
      <c r="AQ28" s="191" t="n"/>
      <c r="AR28" s="211" t="n"/>
      <c r="AS28" s="211" t="n"/>
      <c r="AT28" s="211" t="n"/>
      <c r="AU28" s="211" t="n"/>
      <c r="AV28" s="211" t="n"/>
      <c r="AW28" s="66" t="n"/>
      <c r="BB28" s="59" t="n"/>
      <c r="BC28" s="59" t="n"/>
      <c r="BD28" s="59" t="n"/>
      <c r="BE28" s="59" t="n"/>
      <c r="BF28" s="59" t="n"/>
      <c r="BG28" s="59" t="n"/>
    </row>
    <row r="29" ht="20.25" customFormat="1" customHeight="1" s="192">
      <c r="A29" s="54" t="n"/>
      <c r="B29" s="55" t="n"/>
      <c r="C29" s="56" t="n"/>
      <c r="D29" s="56" t="n"/>
      <c r="E29" s="211" t="n"/>
      <c r="F29" s="211" t="n"/>
      <c r="G29" s="211" t="n"/>
      <c r="H29" s="211" t="n"/>
      <c r="I29" s="211" t="n"/>
      <c r="J29" s="211" t="n"/>
      <c r="K29" s="211" t="n"/>
      <c r="L29" s="211" t="n"/>
      <c r="M29" s="211" t="n"/>
      <c r="N29" s="211" t="n"/>
      <c r="O29" s="211" t="n"/>
      <c r="P29" s="211" t="n"/>
      <c r="Q29" s="211" t="n"/>
      <c r="R29" s="211" t="n"/>
      <c r="S29" s="211" t="n"/>
      <c r="T29" s="211" t="n"/>
      <c r="U29" s="211" t="n"/>
      <c r="V29" s="211" t="n"/>
      <c r="W29" s="211" t="n"/>
      <c r="X29" s="211" t="n"/>
      <c r="Y29" s="211" t="n"/>
      <c r="Z29" s="211" t="n"/>
      <c r="AA29" s="211" t="n"/>
      <c r="AB29" s="211" t="n"/>
      <c r="AC29" s="211" t="n"/>
      <c r="AD29" s="211" t="n"/>
      <c r="AE29" s="211" t="n"/>
      <c r="AF29" s="211" t="n"/>
      <c r="AG29" s="211" t="n"/>
      <c r="AH29" s="211" t="n"/>
      <c r="AI29" s="211" t="n"/>
      <c r="AJ29" s="211" t="n"/>
      <c r="AK29" s="211" t="n"/>
      <c r="AL29" s="211" t="n"/>
      <c r="AM29" s="211" t="n"/>
      <c r="AN29" s="211" t="n"/>
      <c r="AO29" s="211" t="n"/>
      <c r="AP29" s="211" t="n"/>
      <c r="AQ29" s="211" t="n"/>
      <c r="AR29" s="211" t="n"/>
      <c r="AS29" s="211" t="n"/>
      <c r="AT29" s="211" t="n"/>
      <c r="AU29" s="211" t="n"/>
      <c r="AV29" s="211" t="n"/>
      <c r="AW29" s="66" t="n"/>
      <c r="BB29" s="59" t="n"/>
      <c r="BC29" s="59" t="n"/>
      <c r="BD29" s="59" t="n"/>
      <c r="BE29" s="59" t="n"/>
      <c r="BF29" s="59" t="n"/>
      <c r="BG29" s="59" t="n"/>
    </row>
    <row r="30" ht="20.25" customFormat="1" customHeight="1" s="192">
      <c r="A30" s="54" t="n"/>
      <c r="B30" s="55" t="n"/>
      <c r="C30" s="56" t="n"/>
      <c r="D30" s="56" t="n"/>
      <c r="E30" s="211" t="n"/>
      <c r="F30" s="211" t="n"/>
      <c r="G30" s="211" t="n"/>
      <c r="H30" s="211" t="n"/>
      <c r="I30" s="211" t="n"/>
      <c r="J30" s="211" t="n"/>
      <c r="K30" s="211" t="n"/>
      <c r="L30" s="191" t="n"/>
      <c r="M30" s="211" t="n"/>
      <c r="N30" s="211" t="n"/>
      <c r="O30" s="211" t="n"/>
      <c r="P30" s="211" t="n"/>
      <c r="Q30" s="211" t="n"/>
      <c r="R30" s="211" t="n"/>
      <c r="S30" s="211" t="n"/>
      <c r="T30" s="211" t="n"/>
      <c r="U30" s="211" t="n"/>
      <c r="V30" s="211" t="n"/>
      <c r="W30" s="211" t="n"/>
      <c r="X30" s="211" t="n"/>
      <c r="Y30" s="211" t="n"/>
      <c r="Z30" s="211" t="n"/>
      <c r="AA30" s="211" t="n"/>
      <c r="AB30" s="211" t="n"/>
      <c r="AC30" s="211" t="n"/>
      <c r="AD30" s="211" t="n"/>
      <c r="AE30" s="211" t="n"/>
      <c r="AF30" s="211" t="n"/>
      <c r="AG30" s="191" t="n"/>
      <c r="AH30" s="211" t="n"/>
      <c r="AI30" s="211" t="n"/>
      <c r="AJ30" s="211" t="n"/>
      <c r="AK30" s="211" t="n"/>
      <c r="AL30" s="211" t="n"/>
      <c r="AM30" s="211" t="n"/>
      <c r="AN30" s="211" t="n"/>
      <c r="AO30" s="211" t="n"/>
      <c r="AP30" s="211" t="n"/>
      <c r="AQ30" s="211" t="n"/>
      <c r="AR30" s="211" t="n"/>
      <c r="AS30" s="211" t="n"/>
      <c r="AT30" s="211" t="n"/>
      <c r="AU30" s="211" t="n"/>
      <c r="AV30" s="211" t="n"/>
      <c r="AW30" s="66" t="n"/>
      <c r="BB30" s="59" t="n"/>
      <c r="BC30" s="59" t="n"/>
      <c r="BD30" s="59" t="n"/>
      <c r="BE30" s="59" t="n"/>
      <c r="BF30" s="59" t="n"/>
      <c r="BG30" s="59" t="n"/>
    </row>
    <row r="31" ht="20.25" customFormat="1" customHeight="1" s="192">
      <c r="A31" s="54" t="n"/>
      <c r="B31" s="55" t="n"/>
      <c r="C31" s="56" t="n"/>
      <c r="D31" s="56" t="n"/>
      <c r="E31" s="211" t="n"/>
      <c r="F31" s="211" t="n"/>
      <c r="G31" s="211" t="n"/>
      <c r="H31" s="211" t="n"/>
      <c r="I31" s="211" t="n"/>
      <c r="J31" s="211" t="n"/>
      <c r="K31" s="211" t="n"/>
      <c r="L31" s="211" t="n"/>
      <c r="M31" s="211" t="n"/>
      <c r="N31" s="211" t="n"/>
      <c r="O31" s="211" t="n"/>
      <c r="P31" s="211" t="n"/>
      <c r="Q31" s="211" t="n"/>
      <c r="R31" s="211" t="n"/>
      <c r="S31" s="211" t="n"/>
      <c r="T31" s="211" t="n"/>
      <c r="U31" s="211" t="n"/>
      <c r="V31" s="211" t="n"/>
      <c r="W31" s="211" t="n"/>
      <c r="X31" s="211" t="n"/>
      <c r="Y31" s="211" t="n"/>
      <c r="Z31" s="211" t="n"/>
      <c r="AA31" s="211" t="n"/>
      <c r="AB31" s="211" t="n"/>
      <c r="AC31" s="211" t="n"/>
      <c r="AD31" s="211" t="n"/>
      <c r="AE31" s="211" t="n"/>
      <c r="AF31" s="211" t="n"/>
      <c r="AG31" s="211" t="n"/>
      <c r="AH31" s="211" t="n"/>
      <c r="AI31" s="211" t="n"/>
      <c r="AJ31" s="211" t="n"/>
      <c r="AK31" s="211" t="n"/>
      <c r="AL31" s="211" t="n"/>
      <c r="AM31" s="211" t="n"/>
      <c r="AN31" s="211" t="n"/>
      <c r="AO31" s="211" t="n"/>
      <c r="AP31" s="211" t="n"/>
      <c r="AQ31" s="211" t="n"/>
      <c r="AR31" s="211" t="n"/>
      <c r="AS31" s="211" t="n"/>
      <c r="AT31" s="211" t="n"/>
      <c r="AU31" s="211" t="n"/>
      <c r="AV31" s="211" t="n"/>
      <c r="AW31" s="66" t="n"/>
      <c r="BB31" s="59" t="n"/>
      <c r="BC31" s="59" t="n"/>
      <c r="BD31" s="59" t="n"/>
      <c r="BE31" s="59" t="n"/>
      <c r="BF31" s="59" t="n"/>
      <c r="BG31" s="59" t="n"/>
    </row>
    <row r="32" ht="20.25" customFormat="1" customHeight="1" s="192">
      <c r="A32" s="54" t="n"/>
      <c r="B32" s="55" t="n"/>
      <c r="C32" s="56" t="n"/>
      <c r="D32" s="56" t="n"/>
      <c r="E32" s="211" t="n"/>
      <c r="F32" s="211" t="n"/>
      <c r="G32" s="211" t="n"/>
      <c r="H32" s="211" t="n"/>
      <c r="I32" s="211" t="n"/>
      <c r="J32" s="211" t="n"/>
      <c r="K32" s="211" t="n"/>
      <c r="L32" s="211" t="n"/>
      <c r="M32" s="211" t="n"/>
      <c r="N32" s="211" t="n"/>
      <c r="O32" s="211" t="n"/>
      <c r="P32" s="211" t="n"/>
      <c r="Q32" s="211" t="n"/>
      <c r="R32" s="211" t="n"/>
      <c r="S32" s="211" t="n"/>
      <c r="T32" s="211" t="n"/>
      <c r="U32" s="211" t="n"/>
      <c r="V32" s="211" t="n"/>
      <c r="W32" s="211" t="n"/>
      <c r="X32" s="211" t="n"/>
      <c r="Y32" s="211" t="n"/>
      <c r="Z32" s="211" t="n"/>
      <c r="AA32" s="211" t="n"/>
      <c r="AB32" s="211" t="n"/>
      <c r="AC32" s="211" t="n"/>
      <c r="AD32" s="211" t="n"/>
      <c r="AE32" s="211" t="n"/>
      <c r="AF32" s="211" t="n"/>
      <c r="AG32" s="211" t="n"/>
      <c r="AH32" s="211" t="n"/>
      <c r="AI32" s="211" t="n"/>
      <c r="AJ32" s="211" t="n"/>
      <c r="AK32" s="211" t="n"/>
      <c r="AL32" s="211" t="n"/>
      <c r="AM32" s="211" t="n"/>
      <c r="AN32" s="211" t="n"/>
      <c r="AO32" s="211" t="n"/>
      <c r="AP32" s="211" t="n"/>
      <c r="AQ32" s="211" t="n"/>
      <c r="AR32" s="211" t="n"/>
      <c r="AS32" s="211" t="n"/>
      <c r="AT32" s="211" t="n"/>
      <c r="AU32" s="211" t="n"/>
      <c r="AV32" s="211" t="n"/>
      <c r="AW32" s="66" t="n"/>
      <c r="BB32" s="59" t="n"/>
      <c r="BC32" s="59" t="n"/>
      <c r="BD32" s="59" t="n"/>
      <c r="BE32" s="59" t="n"/>
      <c r="BF32" s="59" t="n"/>
      <c r="BG32" s="59" t="n"/>
    </row>
  </sheetData>
  <mergeCells count="44">
    <mergeCell ref="E25:F25"/>
    <mergeCell ref="B17:D17"/>
    <mergeCell ref="B18:D18"/>
    <mergeCell ref="B19:D19"/>
    <mergeCell ref="B20:D20"/>
    <mergeCell ref="B21:D21"/>
    <mergeCell ref="B22:D22"/>
    <mergeCell ref="B14:D14"/>
    <mergeCell ref="AX14:AX16"/>
    <mergeCell ref="B15:D15"/>
    <mergeCell ref="B16:D16"/>
    <mergeCell ref="B23:D23"/>
    <mergeCell ref="B11:D11"/>
    <mergeCell ref="B12:D12"/>
    <mergeCell ref="AX12:AY12"/>
    <mergeCell ref="B10:D10"/>
    <mergeCell ref="B13:D13"/>
    <mergeCell ref="AU4:AW4"/>
    <mergeCell ref="B6:D6"/>
    <mergeCell ref="Z4:AB4"/>
    <mergeCell ref="AC4:AE4"/>
    <mergeCell ref="AX8:AX9"/>
    <mergeCell ref="B9:D9"/>
    <mergeCell ref="B7:D7"/>
    <mergeCell ref="B8:D8"/>
    <mergeCell ref="B5:D5"/>
    <mergeCell ref="T4:V4"/>
    <mergeCell ref="W4:Y4"/>
    <mergeCell ref="A2:D2"/>
    <mergeCell ref="AY2:AZ2"/>
    <mergeCell ref="B3:D3"/>
    <mergeCell ref="AX3:AY3"/>
    <mergeCell ref="B4:D4"/>
    <mergeCell ref="E4:G4"/>
    <mergeCell ref="H4:J4"/>
    <mergeCell ref="K4:M4"/>
    <mergeCell ref="N4:P4"/>
    <mergeCell ref="Q4:S4"/>
    <mergeCell ref="AX4:AY4"/>
    <mergeCell ref="AF4:AH4"/>
    <mergeCell ref="AI4:AK4"/>
    <mergeCell ref="AL4:AN4"/>
    <mergeCell ref="AO4:AQ4"/>
    <mergeCell ref="AR4:AT4"/>
  </mergeCells>
  <printOptions horizontalCentered="1"/>
  <pageMargins left="0.25" right="0.25" top="0.75" bottom="0.75" header="0.3" footer="0.3"/>
  <pageSetup orientation="landscape" paperSize="8" scale="22"/>
  <headerFooter>
    <oddHeader>&amp;R&amp;"HG丸ｺﾞｼｯｸM-PRO,標準"&amp;14 ＳＨＣ</oddHeader>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FF7030A0"/>
    <outlinePr summaryBelow="1" summaryRight="1"/>
    <pageSetUpPr fitToPage="1"/>
  </sheetPr>
  <dimension ref="A1:BG32"/>
  <sheetViews>
    <sheetView showGridLines="0" view="pageBreakPreview" topLeftCell="B1" zoomScale="34" zoomScaleNormal="100" zoomScaleSheetLayoutView="34" zoomScalePageLayoutView="80" workbookViewId="0">
      <pane xSplit="3" ySplit="6" topLeftCell="E13" activePane="bottomRight" state="frozen"/>
      <selection activeCell="B1" sqref="B1"/>
      <selection pane="topRight" activeCell="E1" sqref="E1"/>
      <selection pane="bottomLeft" activeCell="B6" sqref="B6"/>
      <selection pane="bottomRight" activeCell="AA15" sqref="AA15"/>
    </sheetView>
  </sheetViews>
  <sheetFormatPr baseColWidth="8" defaultColWidth="9" defaultRowHeight="20.25" customHeight="1" outlineLevelRow="1"/>
  <cols>
    <col width="9" customWidth="1" style="54" min="1" max="1"/>
    <col width="20.59765625" customWidth="1" style="55" min="2" max="2"/>
    <col width="20.59765625" customWidth="1" style="56" min="3" max="4"/>
    <col width="18.265625" customWidth="1" style="211" min="5" max="8"/>
    <col width="16.1328125" customWidth="1" style="211" min="9" max="9"/>
    <col width="18.265625" customWidth="1" style="211" min="10" max="22"/>
    <col width="23.33203125" bestFit="1" customWidth="1" style="211" min="23" max="23"/>
    <col width="18.265625" customWidth="1" style="211" min="24" max="43"/>
    <col width="23.33203125" bestFit="1" customWidth="1" style="211" min="44" max="44"/>
    <col width="18.265625" customWidth="1" style="211" min="45" max="46"/>
    <col width="23.33203125" bestFit="1" customWidth="1" style="211" min="47" max="47"/>
    <col width="18.265625" customWidth="1" style="211" min="48" max="48"/>
    <col width="18.265625" customWidth="1" style="66" min="49" max="49"/>
    <col width="10.06640625" customWidth="1" style="192" min="50" max="51"/>
    <col width="12.33203125" customWidth="1" style="192" min="52" max="52"/>
    <col width="2.33203125" customWidth="1" style="192" min="53" max="53"/>
    <col width="9" customWidth="1" style="59" min="54" max="58"/>
    <col width="25.796875" customWidth="1" style="59" min="59" max="59"/>
    <col width="9" customWidth="1" style="59" min="60" max="61"/>
    <col width="9" customWidth="1" style="59" min="62" max="16384"/>
  </cols>
  <sheetData>
    <row r="1" ht="20.25" customHeight="1" s="154">
      <c r="AW1" s="211" t="n"/>
    </row>
    <row r="2" ht="80.25" customFormat="1" customHeight="1" s="181">
      <c r="A2" s="180" t="inlineStr">
        <is>
          <t>2025年通期</t>
        </is>
      </c>
      <c r="E2" s="60" t="n"/>
      <c r="F2" s="60" t="n"/>
      <c r="G2" s="60" t="n"/>
      <c r="H2" s="60" t="n"/>
      <c r="I2" s="60" t="n"/>
      <c r="J2" s="60" t="n"/>
      <c r="K2" s="60" t="n"/>
      <c r="L2" s="60" t="n"/>
      <c r="M2" s="60" t="n"/>
      <c r="N2" s="60" t="n"/>
      <c r="O2" s="60" t="n"/>
      <c r="P2" s="60" t="n"/>
      <c r="Q2" s="60" t="n"/>
      <c r="R2" s="60" t="n"/>
      <c r="S2" s="60" t="n"/>
      <c r="T2" s="60" t="n"/>
      <c r="U2" s="60" t="n"/>
      <c r="V2" s="60" t="n"/>
      <c r="W2" s="60" t="n"/>
      <c r="X2" s="60" t="n"/>
      <c r="Y2" s="60" t="n"/>
      <c r="Z2" s="60" t="n"/>
      <c r="AA2" s="60" t="n"/>
      <c r="AB2" s="60" t="n"/>
      <c r="AC2" s="60" t="n"/>
      <c r="AD2" s="60" t="n"/>
      <c r="AE2" s="60" t="n"/>
      <c r="AF2" s="60" t="n"/>
      <c r="AG2" s="60" t="n"/>
      <c r="AH2" s="60" t="n"/>
      <c r="AI2" s="60" t="n"/>
      <c r="AJ2" s="60" t="n"/>
      <c r="AK2" s="60" t="n"/>
      <c r="AL2" s="60" t="n"/>
      <c r="AM2" s="60" t="n"/>
      <c r="AN2" s="60" t="n"/>
      <c r="AO2" s="60" t="n"/>
      <c r="AP2" s="60" t="n"/>
      <c r="AQ2" s="60" t="n"/>
      <c r="AR2" s="60" t="n"/>
      <c r="AS2" s="60" t="n"/>
      <c r="AT2" s="60" t="n"/>
      <c r="AU2" s="60" t="n"/>
      <c r="AV2" s="60" t="n"/>
      <c r="AW2" s="60" t="n"/>
      <c r="AX2" s="61" t="n"/>
      <c r="AY2" s="182" t="n"/>
      <c r="BA2" s="62" t="n"/>
    </row>
    <row r="3" ht="80.25" customFormat="1" customHeight="1" s="181" thickBot="1">
      <c r="A3" s="64" t="n"/>
      <c r="B3" s="183" t="inlineStr">
        <is>
          <t>紹介状況・目標</t>
        </is>
      </c>
      <c r="C3" s="184" t="n"/>
      <c r="D3" s="184" t="n"/>
      <c r="E3" s="60" t="n"/>
      <c r="F3" s="60" t="n"/>
      <c r="G3" s="60" t="n"/>
      <c r="H3" s="60" t="n"/>
      <c r="I3" s="60" t="n"/>
      <c r="J3" s="60" t="n"/>
      <c r="K3" s="60" t="n"/>
      <c r="L3" s="60" t="n"/>
      <c r="M3" s="60" t="n"/>
      <c r="N3" s="60" t="n"/>
      <c r="O3" s="60" t="n"/>
      <c r="P3" s="60" t="n"/>
      <c r="Q3" s="60" t="n"/>
      <c r="R3" s="60" t="n"/>
      <c r="S3" s="60" t="n"/>
      <c r="T3" s="60" t="n"/>
      <c r="U3" s="60" t="n"/>
      <c r="V3" s="60" t="n"/>
      <c r="W3" s="60" t="n"/>
      <c r="X3" s="60" t="n"/>
      <c r="Y3" s="60" t="n"/>
      <c r="Z3" s="60" t="n"/>
      <c r="AA3" s="60" t="n"/>
      <c r="AB3" s="60" t="n"/>
      <c r="AC3" s="60" t="n"/>
      <c r="AD3" s="60" t="n"/>
      <c r="AE3" s="60" t="n"/>
      <c r="AF3" s="60" t="n"/>
      <c r="AG3" s="60" t="n"/>
      <c r="AH3" s="60" t="n"/>
      <c r="AI3" s="60" t="n"/>
      <c r="AJ3" s="60" t="n"/>
      <c r="AK3" s="60" t="n"/>
      <c r="AL3" s="60" t="n"/>
      <c r="AM3" s="60" t="n"/>
      <c r="AN3" s="60" t="n"/>
      <c r="AO3" s="60" t="n"/>
      <c r="AP3" s="60" t="n"/>
      <c r="AQ3" s="60" t="n"/>
      <c r="AR3" s="60" t="n"/>
      <c r="AS3" s="60" t="n"/>
      <c r="AT3" s="60" t="n"/>
      <c r="AU3" s="60" t="n"/>
      <c r="AV3" s="60" t="n"/>
      <c r="AW3" s="60" t="inlineStr">
        <is>
          <t>単位(千円）</t>
        </is>
      </c>
      <c r="AX3" s="185" t="n"/>
    </row>
    <row r="4" ht="76.05" customHeight="1" s="154">
      <c r="B4" s="186" t="n"/>
      <c r="C4" s="187" t="n"/>
      <c r="D4" s="188" t="n"/>
      <c r="E4" s="189" t="inlineStr">
        <is>
          <t>４月</t>
        </is>
      </c>
      <c r="F4" s="187" t="n"/>
      <c r="G4" s="190" t="n"/>
      <c r="H4" s="189" t="inlineStr">
        <is>
          <t>5月</t>
        </is>
      </c>
      <c r="I4" s="187" t="n"/>
      <c r="J4" s="190" t="n"/>
      <c r="K4" s="189" t="inlineStr">
        <is>
          <t>6月</t>
        </is>
      </c>
      <c r="L4" s="187" t="n"/>
      <c r="M4" s="190" t="n"/>
      <c r="N4" s="189" t="inlineStr">
        <is>
          <t>7月</t>
        </is>
      </c>
      <c r="O4" s="187" t="n"/>
      <c r="P4" s="190" t="n"/>
      <c r="Q4" s="195" t="inlineStr">
        <is>
          <t>8月</t>
        </is>
      </c>
      <c r="R4" s="196" t="n"/>
      <c r="S4" s="197" t="n"/>
      <c r="T4" s="189" t="inlineStr">
        <is>
          <t>9月</t>
        </is>
      </c>
      <c r="U4" s="187" t="n"/>
      <c r="V4" s="190" t="n"/>
      <c r="W4" s="193" t="inlineStr">
        <is>
          <t xml:space="preserve">上期 </t>
        </is>
      </c>
      <c r="X4" s="187" t="n"/>
      <c r="Y4" s="190" t="n"/>
      <c r="Z4" s="189" t="inlineStr">
        <is>
          <t>10月</t>
        </is>
      </c>
      <c r="AA4" s="187" t="n"/>
      <c r="AB4" s="190" t="n"/>
      <c r="AC4" s="189" t="inlineStr">
        <is>
          <t>11月</t>
        </is>
      </c>
      <c r="AD4" s="187" t="n"/>
      <c r="AE4" s="190" t="n"/>
      <c r="AF4" s="189" t="inlineStr">
        <is>
          <t>12月</t>
        </is>
      </c>
      <c r="AG4" s="187" t="n"/>
      <c r="AH4" s="190" t="n"/>
      <c r="AI4" s="189" t="inlineStr">
        <is>
          <t>1月</t>
        </is>
      </c>
      <c r="AJ4" s="187" t="n"/>
      <c r="AK4" s="190" t="n"/>
      <c r="AL4" s="189" t="inlineStr">
        <is>
          <t>2月</t>
        </is>
      </c>
      <c r="AM4" s="187" t="n"/>
      <c r="AN4" s="190" t="n"/>
      <c r="AO4" s="189" t="inlineStr">
        <is>
          <t>3月</t>
        </is>
      </c>
      <c r="AP4" s="187" t="n"/>
      <c r="AQ4" s="190" t="n"/>
      <c r="AR4" s="193" t="inlineStr">
        <is>
          <t>下期</t>
        </is>
      </c>
      <c r="AS4" s="187" t="n"/>
      <c r="AT4" s="190" t="n"/>
      <c r="AU4" s="219" t="inlineStr">
        <is>
          <t>総合計</t>
        </is>
      </c>
      <c r="AV4" s="187" t="n"/>
      <c r="AW4" s="190" t="n"/>
      <c r="AX4" s="191" t="n"/>
      <c r="AZ4" s="191" t="n"/>
      <c r="BA4" s="191" t="n"/>
    </row>
    <row r="5" ht="88.5" customHeight="1" s="154">
      <c r="B5" s="204" t="n"/>
      <c r="C5" s="187" t="n"/>
      <c r="D5" s="190" t="n"/>
      <c r="E5" s="94" t="inlineStr">
        <is>
          <t>目標</t>
        </is>
      </c>
      <c r="F5" s="95" t="inlineStr">
        <is>
          <t>実績</t>
        </is>
      </c>
      <c r="G5" s="96" t="inlineStr">
        <is>
          <t>達成率</t>
        </is>
      </c>
      <c r="H5" s="94" t="inlineStr">
        <is>
          <t>目標</t>
        </is>
      </c>
      <c r="I5" s="95" t="inlineStr">
        <is>
          <t>実績</t>
        </is>
      </c>
      <c r="J5" s="96" t="inlineStr">
        <is>
          <t>達成率</t>
        </is>
      </c>
      <c r="K5" s="94" t="inlineStr">
        <is>
          <t>目標</t>
        </is>
      </c>
      <c r="L5" s="95" t="inlineStr">
        <is>
          <t>実績</t>
        </is>
      </c>
      <c r="M5" s="96" t="inlineStr">
        <is>
          <t>達成率</t>
        </is>
      </c>
      <c r="N5" s="94" t="inlineStr">
        <is>
          <t>目標</t>
        </is>
      </c>
      <c r="O5" s="95" t="inlineStr">
        <is>
          <t>実績</t>
        </is>
      </c>
      <c r="P5" s="96" t="inlineStr">
        <is>
          <t>達成率</t>
        </is>
      </c>
      <c r="Q5" s="94" t="inlineStr">
        <is>
          <t>目標</t>
        </is>
      </c>
      <c r="R5" s="95" t="inlineStr">
        <is>
          <t>実績</t>
        </is>
      </c>
      <c r="S5" s="96" t="inlineStr">
        <is>
          <t>達成率</t>
        </is>
      </c>
      <c r="T5" s="94" t="inlineStr">
        <is>
          <t>目標</t>
        </is>
      </c>
      <c r="U5" s="95" t="inlineStr">
        <is>
          <t>実績</t>
        </is>
      </c>
      <c r="V5" s="96" t="inlineStr">
        <is>
          <t>達成率</t>
        </is>
      </c>
      <c r="W5" s="94" t="inlineStr">
        <is>
          <t>目標</t>
        </is>
      </c>
      <c r="X5" s="95" t="inlineStr">
        <is>
          <t>実績</t>
        </is>
      </c>
      <c r="Y5" s="96" t="inlineStr">
        <is>
          <t>達成率</t>
        </is>
      </c>
      <c r="Z5" s="94" t="inlineStr">
        <is>
          <t>目標</t>
        </is>
      </c>
      <c r="AA5" s="95" t="inlineStr">
        <is>
          <t>実績</t>
        </is>
      </c>
      <c r="AB5" s="96" t="inlineStr">
        <is>
          <t>達成率</t>
        </is>
      </c>
      <c r="AC5" s="94" t="inlineStr">
        <is>
          <t>目標</t>
        </is>
      </c>
      <c r="AD5" s="95" t="inlineStr">
        <is>
          <t>実績</t>
        </is>
      </c>
      <c r="AE5" s="96" t="inlineStr">
        <is>
          <t>達成率</t>
        </is>
      </c>
      <c r="AF5" s="94" t="inlineStr">
        <is>
          <t>目標</t>
        </is>
      </c>
      <c r="AG5" s="95" t="inlineStr">
        <is>
          <t>実績</t>
        </is>
      </c>
      <c r="AH5" s="96" t="inlineStr">
        <is>
          <t>達成率</t>
        </is>
      </c>
      <c r="AI5" s="94" t="inlineStr">
        <is>
          <t>目標</t>
        </is>
      </c>
      <c r="AJ5" s="95" t="inlineStr">
        <is>
          <t>実績</t>
        </is>
      </c>
      <c r="AK5" s="96" t="inlineStr">
        <is>
          <t>達成率</t>
        </is>
      </c>
      <c r="AL5" s="94" t="inlineStr">
        <is>
          <t>目標</t>
        </is>
      </c>
      <c r="AM5" s="95" t="inlineStr">
        <is>
          <t>実績</t>
        </is>
      </c>
      <c r="AN5" s="96" t="inlineStr">
        <is>
          <t>達成率</t>
        </is>
      </c>
      <c r="AO5" s="94" t="inlineStr">
        <is>
          <t>目標</t>
        </is>
      </c>
      <c r="AP5" s="95" t="inlineStr">
        <is>
          <t>実績</t>
        </is>
      </c>
      <c r="AQ5" s="96" t="inlineStr">
        <is>
          <t>達成率</t>
        </is>
      </c>
      <c r="AR5" s="94" t="inlineStr">
        <is>
          <t>目標</t>
        </is>
      </c>
      <c r="AS5" s="95" t="inlineStr">
        <is>
          <t>実績</t>
        </is>
      </c>
      <c r="AT5" s="96" t="inlineStr">
        <is>
          <t>達成率</t>
        </is>
      </c>
      <c r="AU5" s="94" t="inlineStr">
        <is>
          <t>目標</t>
        </is>
      </c>
      <c r="AV5" s="95" t="inlineStr">
        <is>
          <t>実績</t>
        </is>
      </c>
      <c r="AW5" s="96" t="inlineStr">
        <is>
          <t>達成率</t>
        </is>
      </c>
      <c r="AX5" s="191" t="n"/>
      <c r="AY5" s="191" t="n"/>
      <c r="AZ5" s="191" t="n"/>
      <c r="BA5" s="191" t="n"/>
    </row>
    <row r="6" ht="99" customHeight="1" s="154">
      <c r="B6" s="220" t="inlineStr">
        <is>
          <t>総合計</t>
        </is>
      </c>
      <c r="C6" s="187" t="n"/>
      <c r="D6" s="188" t="n"/>
      <c r="E6" s="89">
        <f>E12+E17+E23</f>
        <v/>
      </c>
      <c r="F6" s="90">
        <f>F12+F17+F23</f>
        <v/>
      </c>
      <c r="G6" s="85">
        <f>F6/E6</f>
        <v/>
      </c>
      <c r="H6" s="79">
        <f>H12+H17+H23</f>
        <v/>
      </c>
      <c r="I6" s="78">
        <f>I12+I17+I23</f>
        <v/>
      </c>
      <c r="J6" s="85">
        <f>I6/H6</f>
        <v/>
      </c>
      <c r="K6" s="78">
        <f>K12+K17+K23</f>
        <v/>
      </c>
      <c r="L6" s="78">
        <f>L12+L17+L23</f>
        <v/>
      </c>
      <c r="M6" s="85">
        <f>L6/K6</f>
        <v/>
      </c>
      <c r="N6" s="78">
        <f>N12+N17+N23</f>
        <v/>
      </c>
      <c r="O6" s="78">
        <f>O12+O17+O23</f>
        <v/>
      </c>
      <c r="P6" s="85">
        <f>O6/N6</f>
        <v/>
      </c>
      <c r="Q6" s="114">
        <f>Q12+Q17+Q23</f>
        <v/>
      </c>
      <c r="R6" s="78">
        <f>R12+R17+R23</f>
        <v/>
      </c>
      <c r="S6" s="85">
        <f>R6/Q6</f>
        <v/>
      </c>
      <c r="T6" s="78">
        <f>T12+T17+T23</f>
        <v/>
      </c>
      <c r="U6" s="78">
        <f>U12+U17+U23</f>
        <v/>
      </c>
      <c r="V6" s="85">
        <f>U6/T6</f>
        <v/>
      </c>
      <c r="W6" s="78">
        <f>W12+W17+W23</f>
        <v/>
      </c>
      <c r="X6" s="78">
        <f>X12+X17+X23</f>
        <v/>
      </c>
      <c r="Y6" s="85">
        <f>X6/W6</f>
        <v/>
      </c>
      <c r="Z6" s="78">
        <f>Z12+Z17+Z23</f>
        <v/>
      </c>
      <c r="AA6" s="78">
        <f>AA12+AA17+AA23</f>
        <v/>
      </c>
      <c r="AB6" s="85">
        <f>AA6/Z6</f>
        <v/>
      </c>
      <c r="AC6" s="78">
        <f>AC12+AC17+AC23</f>
        <v/>
      </c>
      <c r="AD6" s="78">
        <f>AD12+AD17+AD23</f>
        <v/>
      </c>
      <c r="AE6" s="85">
        <f>AD6/AC6</f>
        <v/>
      </c>
      <c r="AF6" s="78">
        <f>AF12+AF17+AF23</f>
        <v/>
      </c>
      <c r="AG6" s="78">
        <f>AG12+AG17+AG23</f>
        <v/>
      </c>
      <c r="AH6" s="85">
        <f>AG6/AF6</f>
        <v/>
      </c>
      <c r="AI6" s="78">
        <f>AI12+AI17+AI23</f>
        <v/>
      </c>
      <c r="AJ6" s="78">
        <f>AJ12+AJ17+AJ23</f>
        <v/>
      </c>
      <c r="AK6" s="85">
        <f>AJ6/AI6</f>
        <v/>
      </c>
      <c r="AL6" s="78">
        <f>AL12+AL17+AL23</f>
        <v/>
      </c>
      <c r="AM6" s="78">
        <f>AM12+AM17+AM23</f>
        <v/>
      </c>
      <c r="AN6" s="85">
        <f>AM6/AL6</f>
        <v/>
      </c>
      <c r="AO6" s="78">
        <f>AO12+AO17+AO23</f>
        <v/>
      </c>
      <c r="AP6" s="78">
        <f>AP12+AP17+AP23</f>
        <v/>
      </c>
      <c r="AQ6" s="85">
        <f>AP6/AO6</f>
        <v/>
      </c>
      <c r="AR6" s="78">
        <f>AR12+AR17+AR23</f>
        <v/>
      </c>
      <c r="AS6" s="78">
        <f>AS12+AS17+AS23</f>
        <v/>
      </c>
      <c r="AT6" s="85">
        <f>AS6/AR6</f>
        <v/>
      </c>
      <c r="AU6" s="78">
        <f>AU12+AU17+AU23</f>
        <v/>
      </c>
      <c r="AV6" s="78">
        <f>AV12+AV17+AV23</f>
        <v/>
      </c>
      <c r="AW6" s="97">
        <f>AV6/AU6</f>
        <v/>
      </c>
      <c r="AX6" s="191" t="n"/>
      <c r="AY6" s="191" t="n"/>
      <c r="AZ6" s="191" t="n"/>
      <c r="BA6" s="191" t="n"/>
    </row>
    <row r="7" ht="80.25" customHeight="1" s="154">
      <c r="B7" s="208" t="inlineStr">
        <is>
          <t>外部紹介</t>
        </is>
      </c>
      <c r="C7" s="202" t="n"/>
      <c r="D7" s="203" t="n"/>
      <c r="E7" s="76" t="inlineStr">
        <is>
          <t>目標</t>
        </is>
      </c>
      <c r="F7" s="92" t="inlineStr">
        <is>
          <t>実績</t>
        </is>
      </c>
      <c r="G7" s="108" t="inlineStr">
        <is>
          <t>達成率</t>
        </is>
      </c>
      <c r="H7" s="73" t="inlineStr">
        <is>
          <t>目標</t>
        </is>
      </c>
      <c r="I7" s="68" t="inlineStr">
        <is>
          <t>実績</t>
        </is>
      </c>
      <c r="J7" s="108" t="inlineStr">
        <is>
          <t>達成率</t>
        </is>
      </c>
      <c r="K7" s="68" t="inlineStr">
        <is>
          <t>目標</t>
        </is>
      </c>
      <c r="L7" s="68" t="inlineStr">
        <is>
          <t>実績</t>
        </is>
      </c>
      <c r="M7" s="108" t="inlineStr">
        <is>
          <t>達成率</t>
        </is>
      </c>
      <c r="N7" s="68" t="inlineStr">
        <is>
          <t>目標</t>
        </is>
      </c>
      <c r="O7" s="68" t="inlineStr">
        <is>
          <t>実績</t>
        </is>
      </c>
      <c r="P7" s="108" t="inlineStr">
        <is>
          <t>達成率</t>
        </is>
      </c>
      <c r="Q7" s="76" t="inlineStr">
        <is>
          <t>目標</t>
        </is>
      </c>
      <c r="R7" s="68" t="inlineStr">
        <is>
          <t>実績</t>
        </is>
      </c>
      <c r="S7" s="108" t="inlineStr">
        <is>
          <t>達成率</t>
        </is>
      </c>
      <c r="T7" s="68" t="inlineStr">
        <is>
          <t>目標</t>
        </is>
      </c>
      <c r="U7" s="68" t="inlineStr">
        <is>
          <t>実績</t>
        </is>
      </c>
      <c r="V7" s="108" t="inlineStr">
        <is>
          <t>達成率</t>
        </is>
      </c>
      <c r="W7" s="68" t="inlineStr">
        <is>
          <t>目標</t>
        </is>
      </c>
      <c r="X7" s="68" t="inlineStr">
        <is>
          <t>実績</t>
        </is>
      </c>
      <c r="Y7" s="108" t="inlineStr">
        <is>
          <t>達成率</t>
        </is>
      </c>
      <c r="Z7" s="68" t="inlineStr">
        <is>
          <t>目標</t>
        </is>
      </c>
      <c r="AA7" s="68" t="inlineStr">
        <is>
          <t>実績</t>
        </is>
      </c>
      <c r="AB7" s="108" t="inlineStr">
        <is>
          <t>達成率</t>
        </is>
      </c>
      <c r="AC7" s="68" t="inlineStr">
        <is>
          <t>目標</t>
        </is>
      </c>
      <c r="AD7" s="68" t="inlineStr">
        <is>
          <t>実績</t>
        </is>
      </c>
      <c r="AE7" s="108" t="inlineStr">
        <is>
          <t>達成率</t>
        </is>
      </c>
      <c r="AF7" s="68" t="inlineStr">
        <is>
          <t>目標</t>
        </is>
      </c>
      <c r="AG7" s="68" t="inlineStr">
        <is>
          <t>実績</t>
        </is>
      </c>
      <c r="AH7" s="108" t="inlineStr">
        <is>
          <t>達成率</t>
        </is>
      </c>
      <c r="AI7" s="68" t="inlineStr">
        <is>
          <t>目標</t>
        </is>
      </c>
      <c r="AJ7" s="68" t="inlineStr">
        <is>
          <t>実績</t>
        </is>
      </c>
      <c r="AK7" s="108" t="inlineStr">
        <is>
          <t>達成率</t>
        </is>
      </c>
      <c r="AL7" s="68" t="inlineStr">
        <is>
          <t>目標</t>
        </is>
      </c>
      <c r="AM7" s="68" t="inlineStr">
        <is>
          <t>実績</t>
        </is>
      </c>
      <c r="AN7" s="108" t="inlineStr">
        <is>
          <t>達成率</t>
        </is>
      </c>
      <c r="AO7" s="68" t="inlineStr">
        <is>
          <t>目標</t>
        </is>
      </c>
      <c r="AP7" s="68" t="inlineStr">
        <is>
          <t>実績</t>
        </is>
      </c>
      <c r="AQ7" s="108" t="inlineStr">
        <is>
          <t>達成率</t>
        </is>
      </c>
      <c r="AR7" s="68" t="inlineStr">
        <is>
          <t>目標</t>
        </is>
      </c>
      <c r="AS7" s="68" t="inlineStr">
        <is>
          <t>実績</t>
        </is>
      </c>
      <c r="AT7" s="108" t="inlineStr">
        <is>
          <t>達成率</t>
        </is>
      </c>
      <c r="AU7" s="68" t="inlineStr">
        <is>
          <t>目標</t>
        </is>
      </c>
      <c r="AV7" s="68" t="inlineStr">
        <is>
          <t>実績</t>
        </is>
      </c>
      <c r="AW7" s="108" t="inlineStr">
        <is>
          <t>達成率</t>
        </is>
      </c>
      <c r="AX7" s="191" t="n"/>
      <c r="AY7" s="191" t="n"/>
      <c r="BA7" s="54" t="n"/>
    </row>
    <row r="8" ht="80.25" customHeight="1" s="154">
      <c r="B8" s="198" t="inlineStr">
        <is>
          <t>技人国</t>
        </is>
      </c>
      <c r="C8" s="199" t="n"/>
      <c r="D8" s="200" t="n"/>
      <c r="E8" s="74" t="n">
        <v>900</v>
      </c>
      <c r="F8" s="86" t="n">
        <v>400</v>
      </c>
      <c r="G8" s="93">
        <f>F8/E8</f>
        <v/>
      </c>
      <c r="H8" s="71" t="n">
        <v>900</v>
      </c>
      <c r="I8" s="67" t="n">
        <v>0</v>
      </c>
      <c r="J8" s="93">
        <f>I8/H8</f>
        <v/>
      </c>
      <c r="K8" s="67" t="n">
        <v>900</v>
      </c>
      <c r="L8" s="67" t="n">
        <v>0</v>
      </c>
      <c r="M8" s="93">
        <f>L8/K8</f>
        <v/>
      </c>
      <c r="N8" s="67" t="n">
        <v>900</v>
      </c>
      <c r="O8" s="67" t="n">
        <v>0</v>
      </c>
      <c r="P8" s="93">
        <f>O8/N8</f>
        <v/>
      </c>
      <c r="Q8" s="74" t="n">
        <v>900</v>
      </c>
      <c r="R8" s="67" t="n">
        <v>414</v>
      </c>
      <c r="S8" s="93">
        <f>R8/Q8</f>
        <v/>
      </c>
      <c r="T8" s="67" t="n">
        <v>900</v>
      </c>
      <c r="U8" s="67" t="n">
        <v>0</v>
      </c>
      <c r="V8" s="93">
        <f>U8/T8</f>
        <v/>
      </c>
      <c r="W8" s="67">
        <f>E8+H8+K8+N8+Q8+T8</f>
        <v/>
      </c>
      <c r="X8" s="67">
        <f>F8+I8+L8+O8+R8+U8</f>
        <v/>
      </c>
      <c r="Y8" s="93">
        <f>X8/W8</f>
        <v/>
      </c>
      <c r="Z8" s="67" t="n">
        <v>900</v>
      </c>
      <c r="AA8" s="67" t="n">
        <v>400</v>
      </c>
      <c r="AB8" s="93">
        <f>AA8/Z8</f>
        <v/>
      </c>
      <c r="AC8" s="67" t="n">
        <v>900</v>
      </c>
      <c r="AD8" s="67" t="n"/>
      <c r="AE8" s="93">
        <f>AD8/AC8</f>
        <v/>
      </c>
      <c r="AF8" s="67" t="n">
        <v>900</v>
      </c>
      <c r="AG8" s="67" t="n"/>
      <c r="AH8" s="93">
        <f>AG8/AF8</f>
        <v/>
      </c>
      <c r="AI8" s="67" t="n">
        <v>900</v>
      </c>
      <c r="AJ8" s="67" t="n"/>
      <c r="AK8" s="93">
        <f>AJ8/AI8</f>
        <v/>
      </c>
      <c r="AL8" s="67" t="n">
        <v>900</v>
      </c>
      <c r="AM8" s="67" t="n"/>
      <c r="AN8" s="93">
        <f>AM8/AL8</f>
        <v/>
      </c>
      <c r="AO8" s="67" t="n">
        <v>900</v>
      </c>
      <c r="AP8" s="67" t="n"/>
      <c r="AQ8" s="93">
        <f>AP8/AO8</f>
        <v/>
      </c>
      <c r="AR8" s="67">
        <f>SUM(Z8:AP8)</f>
        <v/>
      </c>
      <c r="AS8" s="67">
        <f>AA8+AD8+AG8+AJ8+AM8+AP8</f>
        <v/>
      </c>
      <c r="AT8" s="93">
        <f>AS8/AR8</f>
        <v/>
      </c>
      <c r="AU8" s="67">
        <f>W8+AR8</f>
        <v/>
      </c>
      <c r="AV8" s="67">
        <f>X8+AS8</f>
        <v/>
      </c>
      <c r="AW8" s="98">
        <f>AV8/AU8</f>
        <v/>
      </c>
      <c r="AX8" s="191" t="n"/>
      <c r="BA8" s="54" t="n"/>
    </row>
    <row r="9" ht="80.25" customHeight="1" s="154">
      <c r="B9" s="198" t="inlineStr">
        <is>
          <t>特定技能</t>
        </is>
      </c>
      <c r="C9" s="199" t="n"/>
      <c r="D9" s="200" t="n"/>
      <c r="E9" s="74" t="n">
        <v>200</v>
      </c>
      <c r="F9" s="67" t="n">
        <v>0</v>
      </c>
      <c r="G9" s="93">
        <f>F9/E9</f>
        <v/>
      </c>
      <c r="H9" s="71" t="n">
        <v>200</v>
      </c>
      <c r="I9" s="67" t="n">
        <v>200</v>
      </c>
      <c r="J9" s="93">
        <f>I9/H9</f>
        <v/>
      </c>
      <c r="K9" s="67" t="n">
        <v>200</v>
      </c>
      <c r="L9" s="67" t="n">
        <v>0</v>
      </c>
      <c r="M9" s="93">
        <f>L9/K9</f>
        <v/>
      </c>
      <c r="N9" s="67" t="n">
        <v>200</v>
      </c>
      <c r="O9" s="67" t="n">
        <v>0</v>
      </c>
      <c r="P9" s="93">
        <f>O9/N9</f>
        <v/>
      </c>
      <c r="Q9" s="74" t="n">
        <v>200</v>
      </c>
      <c r="R9" s="67" t="n">
        <v>0</v>
      </c>
      <c r="S9" s="93">
        <f>R9/Q9</f>
        <v/>
      </c>
      <c r="T9" s="67" t="n">
        <v>200</v>
      </c>
      <c r="U9" s="67" t="n">
        <v>0</v>
      </c>
      <c r="V9" s="93">
        <f>U9/T9</f>
        <v/>
      </c>
      <c r="W9" s="67">
        <f>E9+H9+K9+N9+Q9+T9</f>
        <v/>
      </c>
      <c r="X9" s="67">
        <f>F9+I9+L9+O9+R9+U9</f>
        <v/>
      </c>
      <c r="Y9" s="93">
        <f>X9/W9</f>
        <v/>
      </c>
      <c r="Z9" s="67" t="n">
        <v>200</v>
      </c>
      <c r="AA9" s="67" t="n">
        <v>0</v>
      </c>
      <c r="AB9" s="93">
        <f>AA9/Z9</f>
        <v/>
      </c>
      <c r="AC9" s="67" t="n">
        <v>200</v>
      </c>
      <c r="AD9" s="67" t="n"/>
      <c r="AE9" s="93">
        <f>AD9/AC9</f>
        <v/>
      </c>
      <c r="AF9" s="67" t="n">
        <v>200</v>
      </c>
      <c r="AG9" s="67" t="n"/>
      <c r="AH9" s="93">
        <f>AG9/AF9</f>
        <v/>
      </c>
      <c r="AI9" s="67" t="n">
        <v>200</v>
      </c>
      <c r="AJ9" s="67" t="n"/>
      <c r="AK9" s="93">
        <f>AJ9/AI9</f>
        <v/>
      </c>
      <c r="AL9" s="67" t="n">
        <v>200</v>
      </c>
      <c r="AM9" s="67" t="n"/>
      <c r="AN9" s="93">
        <f>AM9/AL9</f>
        <v/>
      </c>
      <c r="AO9" s="67" t="n">
        <v>200</v>
      </c>
      <c r="AP9" s="67" t="n"/>
      <c r="AQ9" s="93">
        <f>AP9/AO9</f>
        <v/>
      </c>
      <c r="AR9" s="67">
        <f>Z9+AC9+AF9+AI9+AL9+AO9</f>
        <v/>
      </c>
      <c r="AS9" s="67">
        <f>AA9+AD9+AG9+AJ9+AM9+AP9</f>
        <v/>
      </c>
      <c r="AT9" s="93">
        <f>AS9/AR9</f>
        <v/>
      </c>
      <c r="AU9" s="67">
        <f>W9+AR9</f>
        <v/>
      </c>
      <c r="AV9" s="67">
        <f>X9+AS9</f>
        <v/>
      </c>
      <c r="AW9" s="98">
        <f>AV9/AU9</f>
        <v/>
      </c>
      <c r="BA9" s="54" t="n"/>
    </row>
    <row r="10" outlineLevel="1" ht="80.25" customHeight="1" s="154">
      <c r="B10" s="198" t="inlineStr">
        <is>
          <t>アルバイト</t>
        </is>
      </c>
      <c r="C10" s="199" t="n"/>
      <c r="D10" s="200" t="n"/>
      <c r="E10" s="74" t="n"/>
      <c r="F10" s="67" t="n">
        <v>60</v>
      </c>
      <c r="G10" s="93">
        <f>F10/E10</f>
        <v/>
      </c>
      <c r="H10" s="71" t="n"/>
      <c r="I10" s="67" t="n">
        <v>0</v>
      </c>
      <c r="J10" s="93">
        <f>I10/H10</f>
        <v/>
      </c>
      <c r="K10" s="67" t="n"/>
      <c r="L10" s="67" t="n">
        <v>30</v>
      </c>
      <c r="M10" s="93">
        <f>L10/K10</f>
        <v/>
      </c>
      <c r="N10" s="67" t="n"/>
      <c r="O10" s="67" t="n">
        <v>180</v>
      </c>
      <c r="P10" s="93">
        <f>O10/N10</f>
        <v/>
      </c>
      <c r="Q10" s="74" t="n"/>
      <c r="R10" s="67" t="n">
        <v>0</v>
      </c>
      <c r="S10" s="93">
        <f>R10/Q10</f>
        <v/>
      </c>
      <c r="T10" s="67" t="n"/>
      <c r="U10" s="67" t="n">
        <v>0</v>
      </c>
      <c r="V10" s="93">
        <f>U10/T10</f>
        <v/>
      </c>
      <c r="W10" s="67">
        <f>E10+H10+K10+N10+Q10+T10</f>
        <v/>
      </c>
      <c r="X10" s="67">
        <f>F10+I10+L10+O10+R10+U10</f>
        <v/>
      </c>
      <c r="Y10" s="93">
        <f>X10/W10</f>
        <v/>
      </c>
      <c r="Z10" s="67" t="n"/>
      <c r="AA10" s="67" t="n">
        <v>0</v>
      </c>
      <c r="AB10" s="93">
        <f>AA10/Z10</f>
        <v/>
      </c>
      <c r="AC10" s="67" t="n"/>
      <c r="AD10" s="67" t="n"/>
      <c r="AE10" s="93">
        <f>AD10/AC10</f>
        <v/>
      </c>
      <c r="AF10" s="67" t="n"/>
      <c r="AG10" s="67" t="n"/>
      <c r="AH10" s="93">
        <f>AG10/AF10</f>
        <v/>
      </c>
      <c r="AI10" s="67" t="n"/>
      <c r="AJ10" s="67" t="n"/>
      <c r="AK10" s="93">
        <f>AJ10/AI10</f>
        <v/>
      </c>
      <c r="AL10" s="67" t="n"/>
      <c r="AM10" s="67" t="n"/>
      <c r="AN10" s="93">
        <f>AM10/AL10</f>
        <v/>
      </c>
      <c r="AO10" s="67" t="n"/>
      <c r="AP10" s="67" t="n"/>
      <c r="AQ10" s="93">
        <f>AP10/AO10</f>
        <v/>
      </c>
      <c r="AR10" s="67">
        <f>Z10+AC10+AF10+AI10+AL10+AO10</f>
        <v/>
      </c>
      <c r="AS10" s="67">
        <f>AA10+AD10+AG10+AJ10+AM10+AP10</f>
        <v/>
      </c>
      <c r="AT10" s="93">
        <f>AS10/AR10</f>
        <v/>
      </c>
      <c r="AU10" s="67">
        <f>W10+AR10</f>
        <v/>
      </c>
      <c r="AV10" s="67">
        <f>X10+AS10</f>
        <v/>
      </c>
      <c r="AW10" s="98">
        <f>AV10/AU10</f>
        <v/>
      </c>
      <c r="BA10" s="54" t="n"/>
    </row>
    <row r="11" outlineLevel="1" ht="80.25" customHeight="1" s="154">
      <c r="B11" s="198" t="inlineStr">
        <is>
          <t>支援業務</t>
        </is>
      </c>
      <c r="C11" s="199" t="n"/>
      <c r="D11" s="200" t="n"/>
      <c r="E11" s="75" t="n"/>
      <c r="F11" s="67" t="n">
        <v>70</v>
      </c>
      <c r="G11" s="93">
        <f>F11/E11</f>
        <v/>
      </c>
      <c r="H11" s="72" t="n"/>
      <c r="I11" s="70" t="n">
        <v>65</v>
      </c>
      <c r="J11" s="93">
        <f>I11/H11</f>
        <v/>
      </c>
      <c r="K11" s="70" t="n"/>
      <c r="L11" s="70" t="n">
        <v>65</v>
      </c>
      <c r="M11" s="93">
        <f>L11/K11</f>
        <v/>
      </c>
      <c r="N11" s="70" t="n"/>
      <c r="O11" s="70" t="n">
        <v>65</v>
      </c>
      <c r="P11" s="93">
        <f>O11/N11</f>
        <v/>
      </c>
      <c r="Q11" s="75" t="n"/>
      <c r="R11" s="70" t="n">
        <v>85</v>
      </c>
      <c r="S11" s="93">
        <f>R11/Q11</f>
        <v/>
      </c>
      <c r="T11" s="70" t="n"/>
      <c r="U11" s="70" t="n">
        <v>85</v>
      </c>
      <c r="V11" s="93">
        <f>U11/T11</f>
        <v/>
      </c>
      <c r="W11" s="70" t="n"/>
      <c r="X11" s="70">
        <f>F11+I11+L11+O11+R11+U11</f>
        <v/>
      </c>
      <c r="Y11" s="93">
        <f>X11/W11</f>
        <v/>
      </c>
      <c r="Z11" s="70" t="n"/>
      <c r="AA11" s="70" t="n">
        <v>85</v>
      </c>
      <c r="AB11" s="93">
        <f>AA11/Z11</f>
        <v/>
      </c>
      <c r="AC11" s="70" t="n"/>
      <c r="AD11" s="70" t="n"/>
      <c r="AE11" s="93">
        <f>AD11/AC11</f>
        <v/>
      </c>
      <c r="AF11" s="70" t="n"/>
      <c r="AG11" s="70" t="n"/>
      <c r="AH11" s="93">
        <f>AG11/AF11</f>
        <v/>
      </c>
      <c r="AI11" s="70" t="n"/>
      <c r="AJ11" s="70" t="n"/>
      <c r="AK11" s="93">
        <f>AJ11/AI11</f>
        <v/>
      </c>
      <c r="AL11" s="70" t="n"/>
      <c r="AM11" s="70" t="n"/>
      <c r="AN11" s="93">
        <f>AM11/AL11</f>
        <v/>
      </c>
      <c r="AO11" s="70" t="n"/>
      <c r="AP11" s="70" t="n"/>
      <c r="AQ11" s="93">
        <f>AP11/AO11</f>
        <v/>
      </c>
      <c r="AR11" s="70" t="n"/>
      <c r="AS11" s="70">
        <f>AA11+AD11+AG11+AJ11+AM11+AP11</f>
        <v/>
      </c>
      <c r="AT11" s="93">
        <f>AS11/AR11</f>
        <v/>
      </c>
      <c r="AU11" s="70">
        <f>W11+AR11</f>
        <v/>
      </c>
      <c r="AV11" s="70">
        <f>X11+AS11</f>
        <v/>
      </c>
      <c r="AW11" s="98">
        <f>AV11/AU11</f>
        <v/>
      </c>
      <c r="BA11" s="54" t="n"/>
    </row>
    <row r="12" ht="80.25" customHeight="1" s="154">
      <c r="B12" s="221" t="inlineStr">
        <is>
          <t>小計</t>
        </is>
      </c>
      <c r="C12" s="206" t="n"/>
      <c r="D12" s="207" t="n"/>
      <c r="E12" s="81">
        <f>E8+E9+E10+E11</f>
        <v/>
      </c>
      <c r="F12" s="87">
        <f>F8+F9+F10+F11</f>
        <v/>
      </c>
      <c r="G12" s="88">
        <f>F12/E12</f>
        <v/>
      </c>
      <c r="H12" s="82">
        <f>H8+H9+H10+H11</f>
        <v/>
      </c>
      <c r="I12" s="83">
        <f>I8+I9+I10+I11</f>
        <v/>
      </c>
      <c r="J12" s="88">
        <f>I12/H12</f>
        <v/>
      </c>
      <c r="K12" s="83">
        <f>K8+K9+K10+K11</f>
        <v/>
      </c>
      <c r="L12" s="83">
        <f>L8+L9+L10+L11</f>
        <v/>
      </c>
      <c r="M12" s="88">
        <f>L12/K12</f>
        <v/>
      </c>
      <c r="N12" s="83">
        <f>N8+N9+N10+N11</f>
        <v/>
      </c>
      <c r="O12" s="83">
        <f>O8+O9+O10+O11</f>
        <v/>
      </c>
      <c r="P12" s="88">
        <f>O12/N12</f>
        <v/>
      </c>
      <c r="Q12" s="81">
        <f>Q8+Q9+Q10+Q11</f>
        <v/>
      </c>
      <c r="R12" s="83">
        <f>R8+R9+R10+R11</f>
        <v/>
      </c>
      <c r="S12" s="88">
        <f>R12/Q12</f>
        <v/>
      </c>
      <c r="T12" s="83">
        <f>T8+T9+T10</f>
        <v/>
      </c>
      <c r="U12" s="83">
        <f>U8+U9+U10+U11</f>
        <v/>
      </c>
      <c r="V12" s="88">
        <f>U12/T12</f>
        <v/>
      </c>
      <c r="W12" s="83">
        <f>W8+W9+W10+W11</f>
        <v/>
      </c>
      <c r="X12" s="83">
        <f>X8+X9+X10+X11</f>
        <v/>
      </c>
      <c r="Y12" s="93">
        <f>X12/W12</f>
        <v/>
      </c>
      <c r="Z12" s="83">
        <f>Z8+Z9+Z10+Z11</f>
        <v/>
      </c>
      <c r="AA12" s="83">
        <f>AA8+AA9+AA10+AA11</f>
        <v/>
      </c>
      <c r="AB12" s="88">
        <f>AA12/Z12</f>
        <v/>
      </c>
      <c r="AC12" s="83">
        <f>AC8+AC9+AC10+AC11</f>
        <v/>
      </c>
      <c r="AD12" s="83">
        <f>AD8+AD9+AD10+AD11</f>
        <v/>
      </c>
      <c r="AE12" s="88">
        <f>AD12/AC12</f>
        <v/>
      </c>
      <c r="AF12" s="83">
        <f>AF8+AF9+AF10+AF11</f>
        <v/>
      </c>
      <c r="AG12" s="83">
        <f>AG8+AG9+AG10+AG11</f>
        <v/>
      </c>
      <c r="AH12" s="88">
        <f>AG12/AF12</f>
        <v/>
      </c>
      <c r="AI12" s="83">
        <f>AI8+AI9+AI10+AI11</f>
        <v/>
      </c>
      <c r="AJ12" s="83">
        <f>AJ8+AJ9+AJ10+AJ11</f>
        <v/>
      </c>
      <c r="AK12" s="88">
        <f>AJ12/AI12</f>
        <v/>
      </c>
      <c r="AL12" s="83">
        <f>AL8+AL9+AL10+AL11</f>
        <v/>
      </c>
      <c r="AM12" s="83">
        <f>AM8+AM9+AM10+AM11</f>
        <v/>
      </c>
      <c r="AN12" s="88">
        <f>AM12/AL12</f>
        <v/>
      </c>
      <c r="AO12" s="83">
        <f>AO8+AO9+AO10+AO11</f>
        <v/>
      </c>
      <c r="AP12" s="83">
        <f>AP8+AP9+AP10+AP11</f>
        <v/>
      </c>
      <c r="AQ12" s="88">
        <f>AP12/AO12</f>
        <v/>
      </c>
      <c r="AR12" s="83">
        <f>AR8+AR9+AR10+AR11</f>
        <v/>
      </c>
      <c r="AS12" s="83">
        <f>AS8+AS9+AS10+AS11</f>
        <v/>
      </c>
      <c r="AT12" s="93">
        <f>AS12/AR12</f>
        <v/>
      </c>
      <c r="AU12" s="83">
        <f>AU8+AU9+AU10+AU11</f>
        <v/>
      </c>
      <c r="AV12" s="83">
        <f>AV8+AV9+AV10+AV11</f>
        <v/>
      </c>
      <c r="AW12" s="98">
        <f>AV12/AU12</f>
        <v/>
      </c>
      <c r="AX12" s="191" t="n"/>
      <c r="BA12" s="54" t="n"/>
    </row>
    <row r="13" outlineLevel="1" ht="80.25" customHeight="1" s="154">
      <c r="B13" s="222" t="inlineStr">
        <is>
          <t>試験対策</t>
        </is>
      </c>
      <c r="C13" s="202" t="n"/>
      <c r="D13" s="203" t="n"/>
      <c r="E13" s="103" t="inlineStr">
        <is>
          <t>目標</t>
        </is>
      </c>
      <c r="F13" s="104" t="inlineStr">
        <is>
          <t>実績</t>
        </is>
      </c>
      <c r="G13" s="105" t="inlineStr">
        <is>
          <t>達成率</t>
        </is>
      </c>
      <c r="H13" s="106" t="inlineStr">
        <is>
          <t>目標</t>
        </is>
      </c>
      <c r="I13" s="107" t="inlineStr">
        <is>
          <t>実績</t>
        </is>
      </c>
      <c r="J13" s="105" t="inlineStr">
        <is>
          <t>達成率</t>
        </is>
      </c>
      <c r="K13" s="107" t="inlineStr">
        <is>
          <t>目標</t>
        </is>
      </c>
      <c r="L13" s="107" t="inlineStr">
        <is>
          <t>実績</t>
        </is>
      </c>
      <c r="M13" s="105" t="inlineStr">
        <is>
          <t>達成率</t>
        </is>
      </c>
      <c r="N13" s="107" t="inlineStr">
        <is>
          <t>目標</t>
        </is>
      </c>
      <c r="O13" s="107" t="inlineStr">
        <is>
          <t>実績</t>
        </is>
      </c>
      <c r="P13" s="105" t="inlineStr">
        <is>
          <t>達成率</t>
        </is>
      </c>
      <c r="Q13" s="103" t="inlineStr">
        <is>
          <t>目標</t>
        </is>
      </c>
      <c r="R13" s="107" t="inlineStr">
        <is>
          <t>実績</t>
        </is>
      </c>
      <c r="S13" s="105" t="inlineStr">
        <is>
          <t>達成率</t>
        </is>
      </c>
      <c r="T13" s="107" t="inlineStr">
        <is>
          <t>目標</t>
        </is>
      </c>
      <c r="U13" s="107" t="inlineStr">
        <is>
          <t>実績</t>
        </is>
      </c>
      <c r="V13" s="105" t="inlineStr">
        <is>
          <t>達成率</t>
        </is>
      </c>
      <c r="W13" s="107" t="inlineStr">
        <is>
          <t>目標</t>
        </is>
      </c>
      <c r="X13" s="107" t="inlineStr">
        <is>
          <t>実績</t>
        </is>
      </c>
      <c r="Y13" s="105" t="inlineStr">
        <is>
          <t>達成率</t>
        </is>
      </c>
      <c r="Z13" s="107" t="inlineStr">
        <is>
          <t>目標</t>
        </is>
      </c>
      <c r="AA13" s="107" t="inlineStr">
        <is>
          <t>実績</t>
        </is>
      </c>
      <c r="AB13" s="105" t="inlineStr">
        <is>
          <t>達成率</t>
        </is>
      </c>
      <c r="AC13" s="107" t="inlineStr">
        <is>
          <t>目標</t>
        </is>
      </c>
      <c r="AD13" s="107" t="inlineStr">
        <is>
          <t>実績</t>
        </is>
      </c>
      <c r="AE13" s="105" t="inlineStr">
        <is>
          <t>達成率</t>
        </is>
      </c>
      <c r="AF13" s="107" t="inlineStr">
        <is>
          <t>目標</t>
        </is>
      </c>
      <c r="AG13" s="107" t="inlineStr">
        <is>
          <t>実績</t>
        </is>
      </c>
      <c r="AH13" s="105" t="inlineStr">
        <is>
          <t>達成率</t>
        </is>
      </c>
      <c r="AI13" s="107" t="inlineStr">
        <is>
          <t>目標</t>
        </is>
      </c>
      <c r="AJ13" s="107" t="inlineStr">
        <is>
          <t>実績</t>
        </is>
      </c>
      <c r="AK13" s="105" t="inlineStr">
        <is>
          <t>達成率</t>
        </is>
      </c>
      <c r="AL13" s="107" t="inlineStr">
        <is>
          <t>目標</t>
        </is>
      </c>
      <c r="AM13" s="107" t="inlineStr">
        <is>
          <t>実績</t>
        </is>
      </c>
      <c r="AN13" s="105" t="inlineStr">
        <is>
          <t>達成率</t>
        </is>
      </c>
      <c r="AO13" s="107" t="inlineStr">
        <is>
          <t>目標</t>
        </is>
      </c>
      <c r="AP13" s="107" t="inlineStr">
        <is>
          <t>実績</t>
        </is>
      </c>
      <c r="AQ13" s="105" t="inlineStr">
        <is>
          <t>達成率</t>
        </is>
      </c>
      <c r="AR13" s="107" t="inlineStr">
        <is>
          <t>目標</t>
        </is>
      </c>
      <c r="AS13" s="107" t="inlineStr">
        <is>
          <t>実績</t>
        </is>
      </c>
      <c r="AT13" s="105" t="inlineStr">
        <is>
          <t>達成率</t>
        </is>
      </c>
      <c r="AU13" s="107" t="inlineStr">
        <is>
          <t>目標</t>
        </is>
      </c>
      <c r="AV13" s="107" t="inlineStr">
        <is>
          <t>実績</t>
        </is>
      </c>
      <c r="AW13" s="105" t="inlineStr">
        <is>
          <t>達成率</t>
        </is>
      </c>
      <c r="BA13" s="54" t="n"/>
    </row>
    <row r="14" ht="80.25" customHeight="1" s="154">
      <c r="B14" s="198" t="inlineStr">
        <is>
          <t>ビルクリーン</t>
        </is>
      </c>
      <c r="C14" s="199" t="n"/>
      <c r="D14" s="200" t="n"/>
      <c r="E14" s="74" t="n">
        <v>0</v>
      </c>
      <c r="F14" s="67" t="n">
        <v>87.90000000000001</v>
      </c>
      <c r="G14" s="93">
        <f>F14/E14</f>
        <v/>
      </c>
      <c r="H14" s="71" t="n">
        <v>400</v>
      </c>
      <c r="I14" s="67" t="n">
        <v>149.4</v>
      </c>
      <c r="J14" s="93">
        <f>I14/H14</f>
        <v/>
      </c>
      <c r="K14" s="67" t="n">
        <v>0</v>
      </c>
      <c r="L14" s="67" t="n">
        <v>67.2</v>
      </c>
      <c r="M14" s="93">
        <f>L14/K14</f>
        <v/>
      </c>
      <c r="N14" s="67" t="n">
        <v>400</v>
      </c>
      <c r="O14" s="67" t="n">
        <v>124.2</v>
      </c>
      <c r="P14" s="93">
        <f>O14/N14</f>
        <v/>
      </c>
      <c r="Q14" s="74" t="n">
        <v>0</v>
      </c>
      <c r="R14" s="67" t="n">
        <v>186</v>
      </c>
      <c r="S14" s="93">
        <f>R14/Q14</f>
        <v/>
      </c>
      <c r="T14" s="67" t="n">
        <v>400</v>
      </c>
      <c r="U14" s="67" t="n">
        <v>82</v>
      </c>
      <c r="V14" s="93">
        <f>U14/T14</f>
        <v/>
      </c>
      <c r="W14" s="67">
        <f>E14+H14+K14+N14+Q14+T14</f>
        <v/>
      </c>
      <c r="X14" s="67">
        <f>F14+I14+L14+O14+R14+U14</f>
        <v/>
      </c>
      <c r="Y14" s="93">
        <f>X14/W14</f>
        <v/>
      </c>
      <c r="Z14" s="67" t="n">
        <v>0</v>
      </c>
      <c r="AA14" s="67" t="n">
        <v>107.4</v>
      </c>
      <c r="AB14" s="93">
        <f>AA14/Z14</f>
        <v/>
      </c>
      <c r="AC14" s="67" t="n">
        <v>400</v>
      </c>
      <c r="AD14" s="67" t="n"/>
      <c r="AE14" s="93">
        <f>AD14/AC14</f>
        <v/>
      </c>
      <c r="AF14" s="67" t="n">
        <v>0</v>
      </c>
      <c r="AG14" s="67" t="n"/>
      <c r="AH14" s="93">
        <f>AG14/AF14</f>
        <v/>
      </c>
      <c r="AI14" s="67" t="n">
        <v>400</v>
      </c>
      <c r="AJ14" s="67" t="n"/>
      <c r="AK14" s="93">
        <f>AJ14/AI14</f>
        <v/>
      </c>
      <c r="AL14" s="67" t="n">
        <v>0</v>
      </c>
      <c r="AM14" s="67" t="n"/>
      <c r="AN14" s="93">
        <f>AM14/AL14</f>
        <v/>
      </c>
      <c r="AO14" s="67" t="n">
        <v>400</v>
      </c>
      <c r="AP14" s="67" t="n"/>
      <c r="AQ14" s="93">
        <f>AP14/AO14</f>
        <v/>
      </c>
      <c r="AR14" s="67">
        <f>Z14+AC14+AF14+AI14+AL14+AO14</f>
        <v/>
      </c>
      <c r="AS14" s="67">
        <f>AA14+AD14+AG14+AJ14+AM14+AP14</f>
        <v/>
      </c>
      <c r="AT14" s="93">
        <f>AS14/AR14</f>
        <v/>
      </c>
      <c r="AU14" s="67">
        <f>W14+AR14</f>
        <v/>
      </c>
      <c r="AV14" s="67">
        <f>X14+AS14</f>
        <v/>
      </c>
      <c r="AW14" s="98">
        <f>AV14/AU14</f>
        <v/>
      </c>
      <c r="AX14" s="191" t="n"/>
      <c r="BA14" s="54" t="n"/>
    </row>
    <row r="15" ht="80.25" customHeight="1" s="154">
      <c r="B15" s="198" t="inlineStr">
        <is>
          <t>外食</t>
        </is>
      </c>
      <c r="C15" s="199" t="n"/>
      <c r="D15" s="200" t="n"/>
      <c r="E15" s="74" t="n">
        <v>0</v>
      </c>
      <c r="F15" s="67" t="n"/>
      <c r="G15" s="93">
        <f>F15/E15</f>
        <v/>
      </c>
      <c r="H15" s="71" t="n">
        <v>0</v>
      </c>
      <c r="I15" s="67" t="n">
        <v>0</v>
      </c>
      <c r="J15" s="93">
        <f>I15/H15</f>
        <v/>
      </c>
      <c r="K15" s="67" t="n">
        <v>0</v>
      </c>
      <c r="L15" s="67" t="n"/>
      <c r="M15" s="93">
        <f>L15/K15</f>
        <v/>
      </c>
      <c r="N15" s="67" t="n">
        <v>0</v>
      </c>
      <c r="O15" s="67" t="n"/>
      <c r="P15" s="93">
        <f>O15/N15</f>
        <v/>
      </c>
      <c r="Q15" s="74" t="n">
        <v>0</v>
      </c>
      <c r="R15" s="67" t="n">
        <v>0</v>
      </c>
      <c r="S15" s="93">
        <f>R15/Q15</f>
        <v/>
      </c>
      <c r="T15" s="67" t="n">
        <v>0</v>
      </c>
      <c r="U15" s="67" t="n">
        <v>0</v>
      </c>
      <c r="V15" s="93">
        <f>U15/T15</f>
        <v/>
      </c>
      <c r="W15" s="67">
        <f>E15+H15+K15+N15+Q15+T15</f>
        <v/>
      </c>
      <c r="X15" s="67">
        <f>F15+I15+L15+O15+R15+U15</f>
        <v/>
      </c>
      <c r="Y15" s="93">
        <f>X15/W15</f>
        <v/>
      </c>
      <c r="Z15" s="67" t="n">
        <v>0</v>
      </c>
      <c r="AA15" s="67" t="n">
        <v>0</v>
      </c>
      <c r="AB15" s="93">
        <f>AA15/Z15</f>
        <v/>
      </c>
      <c r="AC15" s="67" t="n">
        <v>0</v>
      </c>
      <c r="AD15" s="67" t="n"/>
      <c r="AE15" s="93">
        <f>AD15/AC15</f>
        <v/>
      </c>
      <c r="AF15" s="67" t="n">
        <v>0</v>
      </c>
      <c r="AG15" s="67" t="n"/>
      <c r="AH15" s="93">
        <f>AG15/AF15</f>
        <v/>
      </c>
      <c r="AI15" s="67" t="n">
        <v>0</v>
      </c>
      <c r="AJ15" s="67" t="n"/>
      <c r="AK15" s="93">
        <f>AJ15/AI15</f>
        <v/>
      </c>
      <c r="AL15" s="67" t="n">
        <v>0</v>
      </c>
      <c r="AM15" s="67" t="n"/>
      <c r="AN15" s="93">
        <f>AM15/AL15</f>
        <v/>
      </c>
      <c r="AO15" s="67" t="n">
        <v>0</v>
      </c>
      <c r="AP15" s="67" t="n"/>
      <c r="AQ15" s="93">
        <f>AP15/AO15</f>
        <v/>
      </c>
      <c r="AR15" s="67">
        <f>Z15+AC15+AF15+AI15+AL15+AO15</f>
        <v/>
      </c>
      <c r="AS15" s="67">
        <f>AA15+AD15+AG15+AJ15+AM15+AP15</f>
        <v/>
      </c>
      <c r="AT15" s="93">
        <f>AS15/AR15</f>
        <v/>
      </c>
      <c r="AU15" s="67">
        <f>W15+AR15</f>
        <v/>
      </c>
      <c r="AV15" s="67">
        <f>X15+AS15</f>
        <v/>
      </c>
      <c r="AW15" s="98">
        <f>AV15/AU15</f>
        <v/>
      </c>
      <c r="BA15" s="54" t="n"/>
    </row>
    <row r="16" ht="80.25" customHeight="1" s="154">
      <c r="B16" s="198" t="inlineStr">
        <is>
          <t>宿泊</t>
        </is>
      </c>
      <c r="C16" s="199" t="n"/>
      <c r="D16" s="200" t="n"/>
      <c r="E16" s="74" t="n">
        <v>0</v>
      </c>
      <c r="F16" s="67" t="n"/>
      <c r="G16" s="93">
        <f>F16/E16</f>
        <v/>
      </c>
      <c r="H16" s="71" t="n">
        <v>0</v>
      </c>
      <c r="I16" s="67" t="n">
        <v>0</v>
      </c>
      <c r="J16" s="93">
        <f>I16/H16</f>
        <v/>
      </c>
      <c r="K16" s="67" t="n">
        <v>0</v>
      </c>
      <c r="L16" s="67" t="n"/>
      <c r="M16" s="93">
        <f>L16/K16</f>
        <v/>
      </c>
      <c r="N16" s="67" t="n">
        <v>0</v>
      </c>
      <c r="O16" s="67" t="n"/>
      <c r="P16" s="93">
        <f>O16/N16</f>
        <v/>
      </c>
      <c r="Q16" s="74" t="n">
        <v>0</v>
      </c>
      <c r="R16" s="67" t="n">
        <v>0</v>
      </c>
      <c r="S16" s="93">
        <f>R16/Q16</f>
        <v/>
      </c>
      <c r="T16" s="67" t="n">
        <v>0</v>
      </c>
      <c r="U16" s="67" t="n">
        <v>0</v>
      </c>
      <c r="V16" s="93">
        <f>U16/T16</f>
        <v/>
      </c>
      <c r="W16" s="67">
        <f>E16+H16+K16+N16+Q16+T16</f>
        <v/>
      </c>
      <c r="X16" s="67">
        <f>F16+I16+L16+O16+R16+U16</f>
        <v/>
      </c>
      <c r="Y16" s="93">
        <f>X16/W16</f>
        <v/>
      </c>
      <c r="Z16" s="67" t="n">
        <v>0</v>
      </c>
      <c r="AA16" s="67" t="n">
        <v>0</v>
      </c>
      <c r="AB16" s="93">
        <f>AA16/Z16</f>
        <v/>
      </c>
      <c r="AC16" s="67" t="n">
        <v>0</v>
      </c>
      <c r="AD16" s="67" t="n"/>
      <c r="AE16" s="93">
        <f>AD16/AC16</f>
        <v/>
      </c>
      <c r="AF16" s="67" t="n">
        <v>0</v>
      </c>
      <c r="AG16" s="67" t="n"/>
      <c r="AH16" s="93">
        <f>AG16/AF16</f>
        <v/>
      </c>
      <c r="AI16" s="67" t="n">
        <v>0</v>
      </c>
      <c r="AJ16" s="67" t="n"/>
      <c r="AK16" s="93">
        <f>AJ16/AI16</f>
        <v/>
      </c>
      <c r="AL16" s="67" t="n">
        <v>0</v>
      </c>
      <c r="AM16" s="67" t="n"/>
      <c r="AN16" s="93">
        <f>AM16/AL16</f>
        <v/>
      </c>
      <c r="AO16" s="67" t="n">
        <v>0</v>
      </c>
      <c r="AP16" s="67" t="n"/>
      <c r="AQ16" s="93">
        <f>AP16/AO16</f>
        <v/>
      </c>
      <c r="AR16" s="67">
        <f>Z16+AC16+AF16+AI16+AL16+AO16</f>
        <v/>
      </c>
      <c r="AS16" s="67">
        <f>AA16+AD16+AG16+AJ16+AM16+AP16</f>
        <v/>
      </c>
      <c r="AT16" s="93">
        <f>AS16/AR16</f>
        <v/>
      </c>
      <c r="AU16" s="67">
        <f>W16+AR16</f>
        <v/>
      </c>
      <c r="AV16" s="67">
        <f>X16+AS16</f>
        <v/>
      </c>
      <c r="AW16" s="98">
        <f>AV16/AU16</f>
        <v/>
      </c>
      <c r="BA16" s="54" t="n"/>
    </row>
    <row r="17" ht="80.25" customHeight="1" s="154">
      <c r="B17" s="224" t="inlineStr">
        <is>
          <t>小計</t>
        </is>
      </c>
      <c r="C17" s="206" t="n"/>
      <c r="D17" s="207" t="n"/>
      <c r="E17" s="81">
        <f>SUM(E14:E16)</f>
        <v/>
      </c>
      <c r="F17" s="83">
        <f>SUM(F14:F16)</f>
        <v/>
      </c>
      <c r="G17" s="93">
        <f>F17/E17</f>
        <v/>
      </c>
      <c r="H17" s="82">
        <f>SUM(H14:H16)</f>
        <v/>
      </c>
      <c r="I17" s="83">
        <f>SUM(I14:I16)</f>
        <v/>
      </c>
      <c r="J17" s="93">
        <f>I17/H17</f>
        <v/>
      </c>
      <c r="K17" s="83">
        <f>SUM(K14:K16)</f>
        <v/>
      </c>
      <c r="L17" s="83">
        <f>SUM(L14:L16)</f>
        <v/>
      </c>
      <c r="M17" s="93">
        <f>L17/K17</f>
        <v/>
      </c>
      <c r="N17" s="83">
        <f>SUM(N14:N16)</f>
        <v/>
      </c>
      <c r="O17" s="83">
        <f>SUM(O14:O16)</f>
        <v/>
      </c>
      <c r="P17" s="93">
        <f>O17/N17</f>
        <v/>
      </c>
      <c r="Q17" s="81">
        <f>SUM(Q14:Q16)</f>
        <v/>
      </c>
      <c r="R17" s="83">
        <f>SUM(R14:R16)</f>
        <v/>
      </c>
      <c r="S17" s="93">
        <f>R17/Q17</f>
        <v/>
      </c>
      <c r="T17" s="83">
        <f>SUM(T14:T16)</f>
        <v/>
      </c>
      <c r="U17" s="83">
        <f>SUM(U14:U16)</f>
        <v/>
      </c>
      <c r="V17" s="93">
        <f>U17/T17</f>
        <v/>
      </c>
      <c r="W17" s="83">
        <f>SUM(W14:W16)</f>
        <v/>
      </c>
      <c r="X17" s="83">
        <f>SUM(X14:X16)</f>
        <v/>
      </c>
      <c r="Y17" s="93">
        <f>X17/W17</f>
        <v/>
      </c>
      <c r="Z17" s="83">
        <f>SUM(Z14:Z16)</f>
        <v/>
      </c>
      <c r="AA17" s="83">
        <f>SUM(AA14:AA16)</f>
        <v/>
      </c>
      <c r="AB17" s="93">
        <f>AA17/Z17</f>
        <v/>
      </c>
      <c r="AC17" s="83">
        <f>SUM(AC14:AC16)</f>
        <v/>
      </c>
      <c r="AD17" s="83">
        <f>SUM(AD14:AD16)</f>
        <v/>
      </c>
      <c r="AE17" s="93">
        <f>AD17/AC17</f>
        <v/>
      </c>
      <c r="AF17" s="83">
        <f>SUM(AF14:AF16)</f>
        <v/>
      </c>
      <c r="AG17" s="83">
        <f>SUM(AG14:AG16)</f>
        <v/>
      </c>
      <c r="AH17" s="93">
        <f>AG17/AF17</f>
        <v/>
      </c>
      <c r="AI17" s="83">
        <f>SUM(AI14:AI16)</f>
        <v/>
      </c>
      <c r="AJ17" s="83">
        <f>SUM(AJ14:AJ16)</f>
        <v/>
      </c>
      <c r="AK17" s="93">
        <f>AJ17/AI17</f>
        <v/>
      </c>
      <c r="AL17" s="83">
        <f>SUM(AL14:AL16)</f>
        <v/>
      </c>
      <c r="AM17" s="83">
        <f>SUM(AM14:AM16)</f>
        <v/>
      </c>
      <c r="AN17" s="93">
        <f>AM17/AL17</f>
        <v/>
      </c>
      <c r="AO17" s="83">
        <f>SUM(AO14:AO16)</f>
        <v/>
      </c>
      <c r="AP17" s="83">
        <f>SUM(AP14:AP16)</f>
        <v/>
      </c>
      <c r="AQ17" s="93">
        <f>AP17/AO17</f>
        <v/>
      </c>
      <c r="AR17" s="83">
        <f>SUM(AR14:AR16)</f>
        <v/>
      </c>
      <c r="AS17" s="83">
        <f>SUM(AS14:AS16)</f>
        <v/>
      </c>
      <c r="AT17" s="93">
        <f>AS17/AR17</f>
        <v/>
      </c>
      <c r="AU17" s="83">
        <f>SUM(AU14:AU16)</f>
        <v/>
      </c>
      <c r="AV17" s="83">
        <f>SUM(AV14:AV16)</f>
        <v/>
      </c>
      <c r="AW17" s="98">
        <f>AV17/AU17</f>
        <v/>
      </c>
      <c r="AX17" s="191" t="n"/>
      <c r="AY17" s="191" t="n"/>
      <c r="BA17" s="54" t="n"/>
    </row>
    <row r="18" ht="80.25" customHeight="1" s="154">
      <c r="B18" s="213" t="inlineStr">
        <is>
          <t>内部紹介</t>
        </is>
      </c>
      <c r="C18" s="202" t="n"/>
      <c r="D18" s="203" t="n"/>
      <c r="E18" s="109" t="inlineStr">
        <is>
          <t>目標</t>
        </is>
      </c>
      <c r="F18" s="110" t="inlineStr">
        <is>
          <t>実績</t>
        </is>
      </c>
      <c r="G18" s="111" t="inlineStr">
        <is>
          <t>達成率</t>
        </is>
      </c>
      <c r="H18" s="112" t="inlineStr">
        <is>
          <t>目標</t>
        </is>
      </c>
      <c r="I18" s="113" t="inlineStr">
        <is>
          <t>実績</t>
        </is>
      </c>
      <c r="J18" s="111" t="inlineStr">
        <is>
          <t>達成率</t>
        </is>
      </c>
      <c r="K18" s="113" t="inlineStr">
        <is>
          <t>目標</t>
        </is>
      </c>
      <c r="L18" s="113" t="inlineStr">
        <is>
          <t>実績</t>
        </is>
      </c>
      <c r="M18" s="111" t="inlineStr">
        <is>
          <t>達成率</t>
        </is>
      </c>
      <c r="N18" s="113" t="inlineStr">
        <is>
          <t>目標</t>
        </is>
      </c>
      <c r="O18" s="113" t="inlineStr">
        <is>
          <t>実績</t>
        </is>
      </c>
      <c r="P18" s="111" t="inlineStr">
        <is>
          <t>達成率</t>
        </is>
      </c>
      <c r="Q18" s="109" t="inlineStr">
        <is>
          <t>目標</t>
        </is>
      </c>
      <c r="R18" s="113" t="inlineStr">
        <is>
          <t>実績</t>
        </is>
      </c>
      <c r="S18" s="111" t="inlineStr">
        <is>
          <t>達成率</t>
        </is>
      </c>
      <c r="T18" s="113" t="inlineStr">
        <is>
          <t>目標</t>
        </is>
      </c>
      <c r="U18" s="113" t="inlineStr">
        <is>
          <t>実績</t>
        </is>
      </c>
      <c r="V18" s="111" t="inlineStr">
        <is>
          <t>達成率</t>
        </is>
      </c>
      <c r="W18" s="113" t="inlineStr">
        <is>
          <t>目標</t>
        </is>
      </c>
      <c r="X18" s="113" t="inlineStr">
        <is>
          <t>実績</t>
        </is>
      </c>
      <c r="Y18" s="111" t="inlineStr">
        <is>
          <t>達成率</t>
        </is>
      </c>
      <c r="Z18" s="113" t="inlineStr">
        <is>
          <t>目標</t>
        </is>
      </c>
      <c r="AA18" s="113" t="inlineStr">
        <is>
          <t>実績</t>
        </is>
      </c>
      <c r="AB18" s="111" t="inlineStr">
        <is>
          <t>達成率</t>
        </is>
      </c>
      <c r="AC18" s="113" t="inlineStr">
        <is>
          <t>目標</t>
        </is>
      </c>
      <c r="AD18" s="113" t="inlineStr">
        <is>
          <t>実績</t>
        </is>
      </c>
      <c r="AE18" s="111" t="inlineStr">
        <is>
          <t>達成率</t>
        </is>
      </c>
      <c r="AF18" s="113" t="inlineStr">
        <is>
          <t>目標</t>
        </is>
      </c>
      <c r="AG18" s="113" t="inlineStr">
        <is>
          <t>実績</t>
        </is>
      </c>
      <c r="AH18" s="111" t="inlineStr">
        <is>
          <t>達成率</t>
        </is>
      </c>
      <c r="AI18" s="113" t="inlineStr">
        <is>
          <t>目標</t>
        </is>
      </c>
      <c r="AJ18" s="113" t="inlineStr">
        <is>
          <t>実績</t>
        </is>
      </c>
      <c r="AK18" s="111" t="inlineStr">
        <is>
          <t>達成率</t>
        </is>
      </c>
      <c r="AL18" s="113" t="inlineStr">
        <is>
          <t>目標</t>
        </is>
      </c>
      <c r="AM18" s="113" t="inlineStr">
        <is>
          <t>実績</t>
        </is>
      </c>
      <c r="AN18" s="111" t="inlineStr">
        <is>
          <t>達成率</t>
        </is>
      </c>
      <c r="AO18" s="113" t="inlineStr">
        <is>
          <t>目標</t>
        </is>
      </c>
      <c r="AP18" s="113" t="inlineStr">
        <is>
          <t>実績</t>
        </is>
      </c>
      <c r="AQ18" s="111" t="inlineStr">
        <is>
          <t>達成率</t>
        </is>
      </c>
      <c r="AR18" s="113" t="inlineStr">
        <is>
          <t>目標</t>
        </is>
      </c>
      <c r="AS18" s="113" t="inlineStr">
        <is>
          <t>実績</t>
        </is>
      </c>
      <c r="AT18" s="111" t="inlineStr">
        <is>
          <t>達成率</t>
        </is>
      </c>
      <c r="AU18" s="113" t="inlineStr">
        <is>
          <t>目標</t>
        </is>
      </c>
      <c r="AV18" s="113" t="inlineStr">
        <is>
          <t>実績</t>
        </is>
      </c>
      <c r="AW18" s="111" t="inlineStr">
        <is>
          <t>達成率</t>
        </is>
      </c>
      <c r="AX18" s="191" t="n"/>
      <c r="AY18" s="191" t="n"/>
      <c r="BA18" s="54" t="n"/>
    </row>
    <row r="19" ht="80.25" customHeight="1" s="154">
      <c r="B19" s="214" t="inlineStr">
        <is>
          <t>技人国　　　　　　　　　　　　　　　　　　　　　N１／３０％　N2／２０％　N3／１５％</t>
        </is>
      </c>
      <c r="C19" s="199" t="n"/>
      <c r="D19" s="200" t="n"/>
      <c r="E19" s="74" t="n"/>
      <c r="F19" s="67" t="n"/>
      <c r="G19" s="93">
        <f>F19/E19</f>
        <v/>
      </c>
      <c r="H19" s="71" t="n"/>
      <c r="I19" s="67" t="n">
        <v>400</v>
      </c>
      <c r="J19" s="93">
        <f>I19/H19</f>
        <v/>
      </c>
      <c r="K19" s="67" t="n"/>
      <c r="L19" s="67" t="n">
        <v>800</v>
      </c>
      <c r="M19" s="93">
        <f>L19/K19</f>
        <v/>
      </c>
      <c r="N19" s="67" t="n"/>
      <c r="O19" s="67" t="n"/>
      <c r="P19" s="93">
        <f>O19/N19</f>
        <v/>
      </c>
      <c r="Q19" s="74" t="n"/>
      <c r="R19" s="67" t="n">
        <v>0</v>
      </c>
      <c r="S19" s="93">
        <f>R19/Q19</f>
        <v/>
      </c>
      <c r="T19" s="67" t="n"/>
      <c r="U19" s="67" t="n">
        <v>0</v>
      </c>
      <c r="V19" s="93">
        <f>U19/T19</f>
        <v/>
      </c>
      <c r="W19" s="67">
        <f>E19+H19+K19+N19+Q19+T19</f>
        <v/>
      </c>
      <c r="X19" s="67">
        <f>F19+I19+L19+O19+R19+U19</f>
        <v/>
      </c>
      <c r="Y19" s="93">
        <f>X19/W19</f>
        <v/>
      </c>
      <c r="Z19" s="67" t="n"/>
      <c r="AA19" s="67" t="n">
        <v>0</v>
      </c>
      <c r="AB19" s="93">
        <f>AA19/Z19</f>
        <v/>
      </c>
      <c r="AC19" s="67" t="n"/>
      <c r="AD19" s="67" t="n"/>
      <c r="AE19" s="93">
        <f>AD19/AC19</f>
        <v/>
      </c>
      <c r="AF19" s="67" t="n"/>
      <c r="AG19" s="67" t="n"/>
      <c r="AH19" s="93">
        <f>AG19/AF19</f>
        <v/>
      </c>
      <c r="AI19" s="67" t="n"/>
      <c r="AJ19" s="67" t="n"/>
      <c r="AK19" s="93">
        <f>AJ19/AI19</f>
        <v/>
      </c>
      <c r="AL19" s="67" t="n"/>
      <c r="AM19" s="67" t="n"/>
      <c r="AN19" s="93">
        <f>AM19/AL19</f>
        <v/>
      </c>
      <c r="AO19" s="67" t="n"/>
      <c r="AP19" s="67" t="n"/>
      <c r="AQ19" s="93">
        <f>AP19/AO19</f>
        <v/>
      </c>
      <c r="AR19" s="67">
        <f>Z19+AC19+AF19+AI19+AL19+AO19</f>
        <v/>
      </c>
      <c r="AS19" s="67">
        <f>AA19+AD19+AG19+AJ19+AM19+AP19</f>
        <v/>
      </c>
      <c r="AT19" s="93">
        <f>AS19/AR19</f>
        <v/>
      </c>
      <c r="AU19" s="67">
        <f>W19+AR19</f>
        <v/>
      </c>
      <c r="AV19" s="67">
        <f>X19+AS19</f>
        <v/>
      </c>
      <c r="AW19" s="98">
        <f>AV19/AU19</f>
        <v/>
      </c>
      <c r="AX19" s="191" t="n"/>
      <c r="AY19" s="191" t="n"/>
      <c r="BA19" s="54" t="n"/>
    </row>
    <row r="20" ht="80.25" customHeight="1" s="154">
      <c r="B20" s="198" t="inlineStr">
        <is>
          <t>特定技能（一律２0万）✕　〇人</t>
        </is>
      </c>
      <c r="C20" s="199" t="n"/>
      <c r="D20" s="200" t="n"/>
      <c r="E20" s="74" t="n">
        <v>3000</v>
      </c>
      <c r="F20" s="67" t="n">
        <v>800</v>
      </c>
      <c r="G20" s="93">
        <f>F20/E20</f>
        <v/>
      </c>
      <c r="H20" s="71" t="n">
        <v>3000</v>
      </c>
      <c r="I20" s="67" t="n">
        <v>2400</v>
      </c>
      <c r="J20" s="93">
        <f>I20/H20</f>
        <v/>
      </c>
      <c r="K20" s="67" t="n">
        <v>3000</v>
      </c>
      <c r="L20" s="67" t="n">
        <v>2400</v>
      </c>
      <c r="M20" s="93">
        <f>L20/K20</f>
        <v/>
      </c>
      <c r="N20" s="67" t="n">
        <v>3000</v>
      </c>
      <c r="O20" s="67" t="n">
        <v>1000</v>
      </c>
      <c r="P20" s="93">
        <f>O20/N20</f>
        <v/>
      </c>
      <c r="Q20" s="74" t="n">
        <v>3000</v>
      </c>
      <c r="R20" s="67" t="n">
        <v>600</v>
      </c>
      <c r="S20" s="93">
        <f>R20/Q20</f>
        <v/>
      </c>
      <c r="T20" s="67" t="n">
        <v>3000</v>
      </c>
      <c r="U20" s="67" t="n">
        <v>1200</v>
      </c>
      <c r="V20" s="93">
        <f>U20/T20</f>
        <v/>
      </c>
      <c r="W20" s="67">
        <f>E20+H20+K20+N20+Q20+T20</f>
        <v/>
      </c>
      <c r="X20" s="67">
        <f>F20+I20+L20+O20+R20+U20</f>
        <v/>
      </c>
      <c r="Y20" s="93">
        <f>X20/W20</f>
        <v/>
      </c>
      <c r="Z20" s="67" t="n">
        <v>3000</v>
      </c>
      <c r="AA20" s="67" t="n">
        <v>1000</v>
      </c>
      <c r="AB20" s="93">
        <f>AA20/Z20</f>
        <v/>
      </c>
      <c r="AC20" s="67" t="n">
        <v>3000</v>
      </c>
      <c r="AD20" s="67" t="n"/>
      <c r="AE20" s="93">
        <f>AD20/AC20</f>
        <v/>
      </c>
      <c r="AF20" s="67" t="n">
        <v>3000</v>
      </c>
      <c r="AG20" s="67" t="n"/>
      <c r="AH20" s="93">
        <f>AG20/AF20</f>
        <v/>
      </c>
      <c r="AI20" s="67" t="n">
        <v>3000</v>
      </c>
      <c r="AJ20" s="67" t="n"/>
      <c r="AK20" s="93">
        <f>AJ20/AI20</f>
        <v/>
      </c>
      <c r="AL20" s="67" t="n">
        <v>3000</v>
      </c>
      <c r="AM20" s="67" t="n"/>
      <c r="AN20" s="93">
        <f>AM20/AL20</f>
        <v/>
      </c>
      <c r="AO20" s="67" t="n">
        <v>3000</v>
      </c>
      <c r="AP20" s="67" t="n"/>
      <c r="AQ20" s="93">
        <f>AP20/AO20</f>
        <v/>
      </c>
      <c r="AR20" s="67">
        <f>Z20+AC20+AF20+AI20+AL20+AO20</f>
        <v/>
      </c>
      <c r="AS20" s="67">
        <f>AA20+AD20+AG20+AJ20+AM20+AP20</f>
        <v/>
      </c>
      <c r="AT20" s="93">
        <f>AS20/AR20</f>
        <v/>
      </c>
      <c r="AU20" s="67">
        <f>W20+AR20</f>
        <v/>
      </c>
      <c r="AV20" s="67">
        <f>X20+AS20</f>
        <v/>
      </c>
      <c r="AW20" s="98">
        <f>AV20/AU20</f>
        <v/>
      </c>
      <c r="AX20" s="191" t="n"/>
      <c r="AY20" s="191" t="n"/>
      <c r="BA20" s="54" t="n"/>
    </row>
    <row r="21" ht="80.25" customHeight="1" s="154">
      <c r="B21" s="198" t="inlineStr">
        <is>
          <t>アルバイト(3万円／人）</t>
        </is>
      </c>
      <c r="C21" s="199" t="n"/>
      <c r="D21" s="200" t="n"/>
      <c r="E21" s="74" t="n"/>
      <c r="F21" s="67" t="n">
        <v>720</v>
      </c>
      <c r="G21" s="93">
        <f>F21/E21</f>
        <v/>
      </c>
      <c r="H21" s="71" t="n"/>
      <c r="I21" s="67" t="n">
        <v>390</v>
      </c>
      <c r="J21" s="93">
        <f>I21/H21</f>
        <v/>
      </c>
      <c r="K21" s="67" t="n"/>
      <c r="L21" s="67" t="n">
        <v>450</v>
      </c>
      <c r="M21" s="93">
        <f>L21/K21</f>
        <v/>
      </c>
      <c r="N21" s="67" t="n"/>
      <c r="O21" s="67" t="n">
        <v>210</v>
      </c>
      <c r="P21" s="93">
        <f>O21/N21</f>
        <v/>
      </c>
      <c r="Q21" s="74" t="n"/>
      <c r="R21" s="67" t="n">
        <v>840</v>
      </c>
      <c r="S21" s="93">
        <f>R21/Q21</f>
        <v/>
      </c>
      <c r="T21" s="67" t="n"/>
      <c r="U21" s="67" t="n">
        <v>630</v>
      </c>
      <c r="V21" s="93">
        <f>U21/T21</f>
        <v/>
      </c>
      <c r="W21" s="67">
        <f>E21+H21+K21+N21+Q21+T21</f>
        <v/>
      </c>
      <c r="X21" s="67">
        <f>F21+I21+L21+O21+R21+U21</f>
        <v/>
      </c>
      <c r="Y21" s="93">
        <f>X21/W21</f>
        <v/>
      </c>
      <c r="Z21" s="67" t="n"/>
      <c r="AA21" s="67" t="n">
        <v>390</v>
      </c>
      <c r="AB21" s="93">
        <f>AA21/Z21</f>
        <v/>
      </c>
      <c r="AC21" s="67" t="n"/>
      <c r="AD21" s="67" t="n"/>
      <c r="AE21" s="93">
        <f>AD21/AC21</f>
        <v/>
      </c>
      <c r="AF21" s="67" t="n"/>
      <c r="AG21" s="67" t="n"/>
      <c r="AH21" s="93">
        <f>AG21/AF21</f>
        <v/>
      </c>
      <c r="AI21" s="67" t="n"/>
      <c r="AJ21" s="67" t="n"/>
      <c r="AK21" s="93">
        <f>AJ21/AI21</f>
        <v/>
      </c>
      <c r="AL21" s="67" t="n"/>
      <c r="AM21" s="67" t="n"/>
      <c r="AN21" s="93">
        <f>AM21/AL21</f>
        <v/>
      </c>
      <c r="AO21" s="67" t="n"/>
      <c r="AP21" s="67" t="n"/>
      <c r="AQ21" s="93">
        <f>AP21/AO21</f>
        <v/>
      </c>
      <c r="AR21" s="67">
        <f>Z21+AC21+AF21+AI21+AL21+AO21</f>
        <v/>
      </c>
      <c r="AS21" s="67">
        <f>AA21+AD21+AG21+AJ21+AM21+AP21</f>
        <v/>
      </c>
      <c r="AT21" s="93">
        <f>AS21/AR21</f>
        <v/>
      </c>
      <c r="AU21" s="67">
        <f>W21+AR21</f>
        <v/>
      </c>
      <c r="AV21" s="67">
        <f>X21+AS21</f>
        <v/>
      </c>
      <c r="AW21" s="98">
        <f>AV21/AU21</f>
        <v/>
      </c>
      <c r="AX21" s="191" t="n"/>
      <c r="AY21" s="191" t="n"/>
      <c r="BA21" s="54" t="n"/>
    </row>
    <row r="22" ht="80.25" customHeight="1" s="154">
      <c r="B22" s="215" t="inlineStr">
        <is>
          <t>支援人数(1万円／人）</t>
        </is>
      </c>
      <c r="C22" s="216" t="n"/>
      <c r="D22" s="217" t="n"/>
      <c r="E22" s="74" t="n">
        <v>1500</v>
      </c>
      <c r="F22" s="67" t="n">
        <v>1550</v>
      </c>
      <c r="G22" s="93">
        <f>F22/E22</f>
        <v/>
      </c>
      <c r="H22" s="71" t="n">
        <v>1500</v>
      </c>
      <c r="I22" s="67" t="n">
        <v>1630</v>
      </c>
      <c r="J22" s="93">
        <f>I22/H22</f>
        <v/>
      </c>
      <c r="K22" s="67" t="n">
        <v>1500</v>
      </c>
      <c r="L22" s="67" t="n">
        <v>1760</v>
      </c>
      <c r="M22" s="93">
        <f>L22/K22</f>
        <v/>
      </c>
      <c r="N22" s="67" t="n">
        <v>1500</v>
      </c>
      <c r="O22" s="67" t="n">
        <v>1850</v>
      </c>
      <c r="P22" s="93">
        <f>O22/N22</f>
        <v/>
      </c>
      <c r="Q22" s="74" t="n">
        <v>1500</v>
      </c>
      <c r="R22" s="67" t="n">
        <v>1870</v>
      </c>
      <c r="S22" s="93">
        <f>R22/Q22</f>
        <v/>
      </c>
      <c r="T22" s="67" t="n">
        <v>1500</v>
      </c>
      <c r="U22" s="67" t="n">
        <v>1900</v>
      </c>
      <c r="V22" s="93">
        <f>U22/T22</f>
        <v/>
      </c>
      <c r="W22" s="67">
        <f>E22+H22+K22+N22+Q22+T22</f>
        <v/>
      </c>
      <c r="X22" s="67">
        <f>F22+I22+L22+O22+R22+U22</f>
        <v/>
      </c>
      <c r="Y22" s="93">
        <f>X22/W22</f>
        <v/>
      </c>
      <c r="Z22" s="67" t="n">
        <v>1500</v>
      </c>
      <c r="AA22" s="67" t="n">
        <v>1930</v>
      </c>
      <c r="AB22" s="93">
        <f>AA22/Z22</f>
        <v/>
      </c>
      <c r="AC22" s="67" t="n">
        <v>1500</v>
      </c>
      <c r="AD22" s="67" t="n"/>
      <c r="AE22" s="93">
        <f>AD22/AC22</f>
        <v/>
      </c>
      <c r="AF22" s="67" t="n">
        <v>1500</v>
      </c>
      <c r="AG22" s="67" t="n"/>
      <c r="AH22" s="93">
        <f>AG22/AF22</f>
        <v/>
      </c>
      <c r="AI22" s="67" t="n">
        <v>1500</v>
      </c>
      <c r="AJ22" s="67" t="n"/>
      <c r="AK22" s="93">
        <f>AJ22/AI22</f>
        <v/>
      </c>
      <c r="AL22" s="67" t="n">
        <v>1500</v>
      </c>
      <c r="AM22" s="67" t="n"/>
      <c r="AN22" s="93">
        <f>AM22/AL22</f>
        <v/>
      </c>
      <c r="AO22" s="67" t="n">
        <v>1500</v>
      </c>
      <c r="AP22" s="67" t="n"/>
      <c r="AQ22" s="93">
        <f>AP22/AO22</f>
        <v/>
      </c>
      <c r="AR22" s="67">
        <f>Z22+AC22+AF22+AI22+AL22+AO22</f>
        <v/>
      </c>
      <c r="AS22" s="67">
        <f>AA22+AD22+AG22+AJ22+AM22+AP22</f>
        <v/>
      </c>
      <c r="AT22" s="93">
        <f>AS22/AR22</f>
        <v/>
      </c>
      <c r="AU22" s="67">
        <f>W22+AR22</f>
        <v/>
      </c>
      <c r="AV22" s="67">
        <f>X22+AS22</f>
        <v/>
      </c>
      <c r="AW22" s="98">
        <f>AV22/AU22</f>
        <v/>
      </c>
      <c r="AX22" s="191" t="n"/>
      <c r="AY22" s="191" t="n"/>
      <c r="BA22" s="54" t="n"/>
    </row>
    <row r="23" ht="104" customHeight="1" s="154" thickBot="1">
      <c r="B23" s="223" t="inlineStr">
        <is>
          <t>小計</t>
        </is>
      </c>
      <c r="C23" s="187" t="n"/>
      <c r="D23" s="188" t="n"/>
      <c r="E23" s="99">
        <f>SUM(E19:E22)</f>
        <v/>
      </c>
      <c r="F23" s="91">
        <f>SUM(F19:F22)</f>
        <v/>
      </c>
      <c r="G23" s="88">
        <f>F23/E23</f>
        <v/>
      </c>
      <c r="H23" s="82">
        <f>SUM(H19:H22)</f>
        <v/>
      </c>
      <c r="I23" s="83">
        <f>SUM(I19:I22)</f>
        <v/>
      </c>
      <c r="J23" s="88">
        <f>I23/H23</f>
        <v/>
      </c>
      <c r="K23" s="83">
        <f>SUM(K19:K22)</f>
        <v/>
      </c>
      <c r="L23" s="83">
        <f>SUM(L19:L22)</f>
        <v/>
      </c>
      <c r="M23" s="88">
        <f>L23/K23</f>
        <v/>
      </c>
      <c r="N23" s="83">
        <f>SUM(N19:N22)</f>
        <v/>
      </c>
      <c r="O23" s="87">
        <f>SUM(O19:O22)</f>
        <v/>
      </c>
      <c r="P23" s="88">
        <f>O23/N23</f>
        <v/>
      </c>
      <c r="Q23" s="115">
        <f>SUM(Q19:Q22)</f>
        <v/>
      </c>
      <c r="R23" s="116">
        <f>SUM(R19:R22)</f>
        <v/>
      </c>
      <c r="S23" s="117">
        <f>R23/Q23</f>
        <v/>
      </c>
      <c r="T23" s="100">
        <f>SUM(T19:T22)</f>
        <v/>
      </c>
      <c r="U23" s="83">
        <f>SUM(U19:U22)</f>
        <v/>
      </c>
      <c r="V23" s="88">
        <f>U23/T23</f>
        <v/>
      </c>
      <c r="W23" s="82">
        <f>SUM(W19:W22)</f>
        <v/>
      </c>
      <c r="X23" s="83">
        <f>SUM(X19:X22)</f>
        <v/>
      </c>
      <c r="Y23" s="101">
        <f>X23/W23</f>
        <v/>
      </c>
      <c r="Z23" s="83">
        <f>SUM(Z19:Z22)</f>
        <v/>
      </c>
      <c r="AA23" s="83">
        <f>SUM(AA19:AA22)</f>
        <v/>
      </c>
      <c r="AB23" s="88">
        <f>AA23/Z23</f>
        <v/>
      </c>
      <c r="AC23" s="83">
        <f>SUM(AC19:AC22)</f>
        <v/>
      </c>
      <c r="AD23" s="83">
        <f>SUM(AD19:AD22)</f>
        <v/>
      </c>
      <c r="AE23" s="88">
        <f>AD23/AC23</f>
        <v/>
      </c>
      <c r="AF23" s="83">
        <f>SUM(AF19:AF22)</f>
        <v/>
      </c>
      <c r="AG23" s="83">
        <f>SUM(AG19:AG22)</f>
        <v/>
      </c>
      <c r="AH23" s="88">
        <f>AG23/AF23</f>
        <v/>
      </c>
      <c r="AI23" s="83">
        <f>SUM(AI19:AI22)</f>
        <v/>
      </c>
      <c r="AJ23" s="83">
        <f>SUM(AJ19:AJ22)</f>
        <v/>
      </c>
      <c r="AK23" s="88">
        <f>AJ23/AI23</f>
        <v/>
      </c>
      <c r="AL23" s="83">
        <f>SUM(AL19:AL22)</f>
        <v/>
      </c>
      <c r="AM23" s="83">
        <f>SUM(AM19:AM22)</f>
        <v/>
      </c>
      <c r="AN23" s="88">
        <f>AM23/AL23</f>
        <v/>
      </c>
      <c r="AO23" s="83">
        <f>SUM(AO19:AO22)</f>
        <v/>
      </c>
      <c r="AP23" s="83">
        <f>SUM(AP19:AP22)</f>
        <v/>
      </c>
      <c r="AQ23" s="88">
        <f>AP23/AO23</f>
        <v/>
      </c>
      <c r="AR23" s="83">
        <f>SUM(AR19:AR22)</f>
        <v/>
      </c>
      <c r="AS23" s="83">
        <f>SUM(AS19:AS22)</f>
        <v/>
      </c>
      <c r="AT23" s="101">
        <f>AS23/AR23</f>
        <v/>
      </c>
      <c r="AU23" s="83">
        <f>SUM(AU19:AU22)</f>
        <v/>
      </c>
      <c r="AV23" s="83">
        <f>SUM(AV19:AV22)</f>
        <v/>
      </c>
      <c r="AW23" s="102">
        <f>AV23/AU23</f>
        <v/>
      </c>
    </row>
    <row r="24" ht="141.75" customFormat="1" customHeight="1" s="181">
      <c r="A24" s="64" t="n"/>
      <c r="O24" s="80" t="n"/>
      <c r="AU24" s="84" t="n"/>
      <c r="AV24" s="84" t="n"/>
      <c r="AW24" s="84" t="n"/>
    </row>
    <row r="25" ht="80.25" customHeight="1" s="154">
      <c r="B25" s="210" t="n"/>
      <c r="C25" s="210" t="n"/>
      <c r="D25" s="210" t="n"/>
      <c r="E25" s="210" t="n"/>
      <c r="G25" s="210" t="n"/>
      <c r="H25" s="210" t="n"/>
      <c r="I25" s="210" t="n"/>
      <c r="J25" s="210" t="n"/>
      <c r="K25" s="210" t="n"/>
      <c r="L25" s="210" t="n"/>
      <c r="M25" s="210" t="n"/>
      <c r="N25" s="210" t="n"/>
      <c r="O25" s="210" t="n"/>
      <c r="P25" s="210" t="n"/>
      <c r="Q25" s="210" t="n"/>
      <c r="R25" s="210" t="n"/>
      <c r="S25" s="210" t="n"/>
      <c r="T25" s="210" t="n"/>
      <c r="U25" s="210" t="n"/>
      <c r="V25" s="210" t="n"/>
      <c r="W25" s="210" t="n"/>
      <c r="X25" s="210" t="n"/>
      <c r="Y25" s="210" t="n"/>
      <c r="Z25" s="210" t="n"/>
      <c r="AA25" s="210" t="n"/>
      <c r="AB25" s="210" t="n"/>
      <c r="AC25" s="210" t="n"/>
      <c r="AD25" s="210" t="n"/>
      <c r="AE25" s="210" t="n"/>
      <c r="AF25" s="210" t="n"/>
      <c r="AG25" s="210" t="n"/>
      <c r="AH25" s="210" t="n"/>
      <c r="AI25" s="210" t="n"/>
      <c r="AJ25" s="210" t="n"/>
      <c r="AK25" s="210" t="n"/>
      <c r="AL25" s="210" t="n"/>
      <c r="AM25" s="210" t="n"/>
      <c r="AN25" s="210" t="n"/>
      <c r="AO25" s="210" t="n"/>
      <c r="AP25" s="210" t="n"/>
      <c r="AQ25" s="210" t="n"/>
      <c r="AR25" s="210" t="n"/>
      <c r="AS25" s="210" t="n"/>
      <c r="AT25" s="210" t="n"/>
      <c r="AU25" s="210" t="n"/>
      <c r="AV25" s="210" t="n"/>
      <c r="AW25" s="210" t="n"/>
    </row>
    <row r="26" ht="20.25" customFormat="1" customHeight="1" s="192">
      <c r="A26" s="54" t="n"/>
      <c r="B26" s="55" t="n"/>
      <c r="E26" s="191" t="n"/>
      <c r="F26" s="191" t="n"/>
      <c r="G26" s="191" t="n"/>
      <c r="H26" s="191" t="n"/>
      <c r="I26" s="211" t="n"/>
      <c r="J26" s="191" t="n"/>
      <c r="K26" s="211" t="n"/>
      <c r="L26" s="191" t="n"/>
      <c r="M26" s="191" t="n"/>
      <c r="N26" s="191" t="n"/>
      <c r="O26" s="191" t="n"/>
      <c r="P26" s="191" t="n"/>
      <c r="Q26" s="191" t="n"/>
      <c r="R26" s="191" t="n"/>
      <c r="S26" s="191" t="n"/>
      <c r="T26" s="191" t="n"/>
      <c r="U26" s="191" t="n"/>
      <c r="V26" s="191" t="n"/>
      <c r="W26" s="191" t="n"/>
      <c r="X26" s="191" t="n"/>
      <c r="Y26" s="211" t="n"/>
      <c r="Z26" s="191" t="n"/>
      <c r="AA26" s="191" t="n"/>
      <c r="AB26" s="191" t="n"/>
      <c r="AC26" s="191" t="n"/>
      <c r="AD26" s="211" t="n"/>
      <c r="AE26" s="191" t="n"/>
      <c r="AF26" s="211" t="n"/>
      <c r="AG26" s="191" t="n"/>
      <c r="AH26" s="191" t="n"/>
      <c r="AI26" s="191" t="n"/>
      <c r="AJ26" s="191" t="n"/>
      <c r="AK26" s="191" t="n"/>
      <c r="AL26" s="191" t="n"/>
      <c r="AM26" s="191" t="n"/>
      <c r="AN26" s="191" t="n"/>
      <c r="AO26" s="191" t="n"/>
      <c r="AP26" s="191" t="n"/>
      <c r="AQ26" s="191" t="n"/>
      <c r="AR26" s="191" t="n"/>
      <c r="AS26" s="191" t="n"/>
      <c r="AT26" s="211" t="n"/>
      <c r="AU26" s="191" t="n"/>
      <c r="AV26" s="191" t="n"/>
      <c r="AW26" s="66" t="n"/>
      <c r="BB26" s="59" t="n"/>
      <c r="BC26" s="59" t="n"/>
      <c r="BD26" s="59" t="n"/>
      <c r="BE26" s="59" t="n"/>
      <c r="BF26" s="59" t="n"/>
      <c r="BG26" s="59" t="n"/>
    </row>
    <row r="27" ht="20.25" customFormat="1" customHeight="1" s="192">
      <c r="A27" s="54" t="n"/>
      <c r="B27" s="55" t="n"/>
      <c r="E27" s="191" t="n"/>
      <c r="F27" s="191" t="n"/>
      <c r="G27" s="191" t="n"/>
      <c r="H27" s="191" t="n"/>
      <c r="I27" s="211" t="n"/>
      <c r="J27" s="191" t="n"/>
      <c r="K27" s="211" t="n"/>
      <c r="L27" s="191" t="n"/>
      <c r="M27" s="191" t="n"/>
      <c r="N27" s="191" t="n"/>
      <c r="O27" s="191" t="n"/>
      <c r="P27" s="191" t="n"/>
      <c r="Q27" s="191" t="n"/>
      <c r="R27" s="191" t="n"/>
      <c r="S27" s="191" t="n"/>
      <c r="T27" s="191" t="n"/>
      <c r="U27" s="191" t="n"/>
      <c r="V27" s="191" t="n"/>
      <c r="W27" s="191" t="n"/>
      <c r="X27" s="191" t="n"/>
      <c r="Y27" s="211" t="n"/>
      <c r="Z27" s="191" t="n"/>
      <c r="AA27" s="191" t="n"/>
      <c r="AB27" s="191" t="n"/>
      <c r="AC27" s="191" t="n"/>
      <c r="AD27" s="211" t="n"/>
      <c r="AE27" s="191" t="n"/>
      <c r="AF27" s="211" t="n"/>
      <c r="AG27" s="191" t="n"/>
      <c r="AH27" s="191" t="n"/>
      <c r="AI27" s="191" t="n"/>
      <c r="AJ27" s="191" t="n"/>
      <c r="AK27" s="191" t="n"/>
      <c r="AL27" s="191" t="n"/>
      <c r="AM27" s="191" t="n"/>
      <c r="AN27" s="191" t="n"/>
      <c r="AO27" s="191" t="n"/>
      <c r="AP27" s="191" t="n"/>
      <c r="AQ27" s="191" t="n"/>
      <c r="AR27" s="191" t="n"/>
      <c r="AS27" s="191" t="n"/>
      <c r="AT27" s="211" t="n"/>
      <c r="AU27" s="191" t="n"/>
      <c r="AV27" s="191" t="n"/>
      <c r="AW27" s="66" t="n"/>
      <c r="BB27" s="59" t="n"/>
      <c r="BC27" s="59" t="n"/>
      <c r="BD27" s="59" t="n"/>
      <c r="BE27" s="59" t="n"/>
      <c r="BF27" s="59" t="n"/>
      <c r="BG27" s="59" t="n"/>
    </row>
    <row r="28" ht="20.25" customFormat="1" customHeight="1" s="192">
      <c r="A28" s="54" t="n"/>
      <c r="B28" s="55" t="n"/>
      <c r="E28" s="191" t="n"/>
      <c r="F28" s="191" t="n"/>
      <c r="G28" s="191" t="n"/>
      <c r="H28" s="191" t="n"/>
      <c r="I28" s="211" t="n"/>
      <c r="J28" s="191" t="n"/>
      <c r="K28" s="211" t="n"/>
      <c r="L28" s="211" t="n"/>
      <c r="M28" s="191" t="n"/>
      <c r="N28" s="211" t="n"/>
      <c r="O28" s="211" t="n"/>
      <c r="P28" s="191" t="n"/>
      <c r="Q28" s="211" t="n"/>
      <c r="R28" s="211" t="n"/>
      <c r="S28" s="191" t="n"/>
      <c r="T28" s="211" t="n"/>
      <c r="U28" s="211" t="n"/>
      <c r="V28" s="191" t="n"/>
      <c r="W28" s="211" t="n"/>
      <c r="X28" s="211" t="n"/>
      <c r="Y28" s="211" t="n"/>
      <c r="Z28" s="191" t="n"/>
      <c r="AA28" s="191" t="n"/>
      <c r="AB28" s="191" t="n"/>
      <c r="AC28" s="191" t="n"/>
      <c r="AD28" s="211" t="n"/>
      <c r="AE28" s="191" t="n"/>
      <c r="AF28" s="211" t="n"/>
      <c r="AG28" s="211" t="n"/>
      <c r="AH28" s="191" t="n"/>
      <c r="AI28" s="211" t="n"/>
      <c r="AJ28" s="211" t="n"/>
      <c r="AK28" s="191" t="n"/>
      <c r="AL28" s="211" t="n"/>
      <c r="AM28" s="211" t="n"/>
      <c r="AN28" s="191" t="n"/>
      <c r="AO28" s="211" t="n"/>
      <c r="AP28" s="211" t="n"/>
      <c r="AQ28" s="191" t="n"/>
      <c r="AR28" s="211" t="n"/>
      <c r="AS28" s="211" t="n"/>
      <c r="AT28" s="211" t="n"/>
      <c r="AU28" s="211" t="n"/>
      <c r="AV28" s="211" t="n"/>
      <c r="AW28" s="66" t="n"/>
      <c r="BB28" s="59" t="n"/>
      <c r="BC28" s="59" t="n"/>
      <c r="BD28" s="59" t="n"/>
      <c r="BE28" s="59" t="n"/>
      <c r="BF28" s="59" t="n"/>
      <c r="BG28" s="59" t="n"/>
    </row>
    <row r="29" ht="20.25" customFormat="1" customHeight="1" s="192">
      <c r="A29" s="54" t="n"/>
      <c r="B29" s="55" t="n"/>
      <c r="C29" s="56" t="n"/>
      <c r="D29" s="56" t="n"/>
      <c r="E29" s="211" t="n"/>
      <c r="F29" s="211" t="n"/>
      <c r="G29" s="211" t="n"/>
      <c r="H29" s="211" t="n"/>
      <c r="I29" s="211" t="n"/>
      <c r="J29" s="211" t="n"/>
      <c r="K29" s="211" t="n"/>
      <c r="L29" s="211" t="n"/>
      <c r="M29" s="211" t="n"/>
      <c r="N29" s="211" t="n"/>
      <c r="O29" s="211" t="n"/>
      <c r="P29" s="211" t="n"/>
      <c r="Q29" s="211" t="n"/>
      <c r="R29" s="211" t="n"/>
      <c r="S29" s="211" t="n"/>
      <c r="T29" s="211" t="n"/>
      <c r="U29" s="211" t="n"/>
      <c r="V29" s="211" t="n"/>
      <c r="W29" s="211" t="n"/>
      <c r="X29" s="211" t="n"/>
      <c r="Y29" s="211" t="n"/>
      <c r="Z29" s="211" t="n"/>
      <c r="AA29" s="211" t="n"/>
      <c r="AB29" s="211" t="n"/>
      <c r="AC29" s="211" t="n"/>
      <c r="AD29" s="211" t="n"/>
      <c r="AE29" s="211" t="n"/>
      <c r="AF29" s="211" t="n"/>
      <c r="AG29" s="211" t="n"/>
      <c r="AH29" s="211" t="n"/>
      <c r="AI29" s="211" t="n"/>
      <c r="AJ29" s="211" t="n"/>
      <c r="AK29" s="211" t="n"/>
      <c r="AL29" s="211" t="n"/>
      <c r="AM29" s="211" t="n"/>
      <c r="AN29" s="211" t="n"/>
      <c r="AO29" s="211" t="n"/>
      <c r="AP29" s="211" t="n"/>
      <c r="AQ29" s="211" t="n"/>
      <c r="AR29" s="211" t="n"/>
      <c r="AS29" s="211" t="n"/>
      <c r="AT29" s="211" t="n"/>
      <c r="AU29" s="211" t="n"/>
      <c r="AV29" s="211" t="n"/>
      <c r="AW29" s="66" t="n"/>
      <c r="BB29" s="59" t="n"/>
      <c r="BC29" s="59" t="n"/>
      <c r="BD29" s="59" t="n"/>
      <c r="BE29" s="59" t="n"/>
      <c r="BF29" s="59" t="n"/>
      <c r="BG29" s="59" t="n"/>
    </row>
    <row r="30" ht="20.25" customFormat="1" customHeight="1" s="192">
      <c r="A30" s="54" t="n"/>
      <c r="B30" s="55" t="n"/>
      <c r="C30" s="56" t="n"/>
      <c r="D30" s="56" t="n"/>
      <c r="E30" s="211" t="n"/>
      <c r="F30" s="211" t="n"/>
      <c r="G30" s="211" t="n"/>
      <c r="H30" s="211" t="n"/>
      <c r="I30" s="211" t="n"/>
      <c r="J30" s="211" t="n"/>
      <c r="K30" s="211" t="n"/>
      <c r="L30" s="191" t="n"/>
      <c r="M30" s="211" t="n"/>
      <c r="N30" s="211" t="n"/>
      <c r="O30" s="211" t="n"/>
      <c r="P30" s="211" t="n"/>
      <c r="Q30" s="211" t="n"/>
      <c r="R30" s="211" t="n"/>
      <c r="S30" s="211" t="n"/>
      <c r="T30" s="211" t="n"/>
      <c r="U30" s="211" t="n"/>
      <c r="V30" s="211" t="n"/>
      <c r="W30" s="211" t="n"/>
      <c r="X30" s="211" t="n"/>
      <c r="Y30" s="211" t="n"/>
      <c r="Z30" s="211" t="n"/>
      <c r="AA30" s="211" t="n"/>
      <c r="AB30" s="211" t="n"/>
      <c r="AC30" s="211" t="n"/>
      <c r="AD30" s="211" t="n"/>
      <c r="AE30" s="211" t="n"/>
      <c r="AF30" s="211" t="n"/>
      <c r="AG30" s="191" t="n"/>
      <c r="AH30" s="211" t="n"/>
      <c r="AI30" s="211" t="n"/>
      <c r="AJ30" s="211" t="n"/>
      <c r="AK30" s="211" t="n"/>
      <c r="AL30" s="211" t="n"/>
      <c r="AM30" s="211" t="n"/>
      <c r="AN30" s="211" t="n"/>
      <c r="AO30" s="211" t="n"/>
      <c r="AP30" s="211" t="n"/>
      <c r="AQ30" s="211" t="n"/>
      <c r="AR30" s="211" t="n"/>
      <c r="AS30" s="211" t="n"/>
      <c r="AT30" s="211" t="n"/>
      <c r="AU30" s="211" t="n"/>
      <c r="AV30" s="211" t="n"/>
      <c r="AW30" s="66" t="n"/>
      <c r="BB30" s="59" t="n"/>
      <c r="BC30" s="59" t="n"/>
      <c r="BD30" s="59" t="n"/>
      <c r="BE30" s="59" t="n"/>
      <c r="BF30" s="59" t="n"/>
      <c r="BG30" s="59" t="n"/>
    </row>
    <row r="31" ht="20.25" customFormat="1" customHeight="1" s="192">
      <c r="A31" s="54" t="n"/>
      <c r="B31" s="55" t="n"/>
      <c r="C31" s="56" t="n"/>
      <c r="D31" s="56" t="n"/>
      <c r="E31" s="211" t="n"/>
      <c r="F31" s="211" t="n"/>
      <c r="G31" s="211" t="n"/>
      <c r="H31" s="211" t="n"/>
      <c r="I31" s="211" t="n"/>
      <c r="J31" s="211" t="n"/>
      <c r="K31" s="211" t="n"/>
      <c r="L31" s="211" t="n"/>
      <c r="M31" s="211" t="n"/>
      <c r="N31" s="211" t="n"/>
      <c r="O31" s="211" t="n"/>
      <c r="P31" s="211" t="n"/>
      <c r="Q31" s="211" t="n"/>
      <c r="R31" s="211" t="n"/>
      <c r="S31" s="211" t="n"/>
      <c r="T31" s="211" t="n"/>
      <c r="U31" s="211" t="n"/>
      <c r="V31" s="211" t="n"/>
      <c r="W31" s="211" t="n"/>
      <c r="X31" s="211" t="n"/>
      <c r="Y31" s="211" t="n"/>
      <c r="Z31" s="211" t="n"/>
      <c r="AA31" s="211" t="n"/>
      <c r="AB31" s="211" t="n"/>
      <c r="AC31" s="211" t="n"/>
      <c r="AD31" s="211" t="n"/>
      <c r="AE31" s="211" t="n"/>
      <c r="AF31" s="211" t="n"/>
      <c r="AG31" s="211" t="n"/>
      <c r="AH31" s="211" t="n"/>
      <c r="AI31" s="211" t="n"/>
      <c r="AJ31" s="211" t="n"/>
      <c r="AK31" s="211" t="n"/>
      <c r="AL31" s="211" t="n"/>
      <c r="AM31" s="211" t="n"/>
      <c r="AN31" s="211" t="n"/>
      <c r="AO31" s="211" t="n"/>
      <c r="AP31" s="211" t="n"/>
      <c r="AQ31" s="211" t="n"/>
      <c r="AR31" s="211" t="n"/>
      <c r="AS31" s="211" t="n"/>
      <c r="AT31" s="211" t="n"/>
      <c r="AU31" s="211" t="n"/>
      <c r="AV31" s="211" t="n"/>
      <c r="AW31" s="66" t="n"/>
      <c r="BB31" s="59" t="n"/>
      <c r="BC31" s="59" t="n"/>
      <c r="BD31" s="59" t="n"/>
      <c r="BE31" s="59" t="n"/>
      <c r="BF31" s="59" t="n"/>
      <c r="BG31" s="59" t="n"/>
    </row>
    <row r="32" ht="20.25" customFormat="1" customHeight="1" s="192">
      <c r="A32" s="54" t="n"/>
      <c r="B32" s="55" t="n"/>
      <c r="C32" s="56" t="n"/>
      <c r="D32" s="56" t="n"/>
      <c r="E32" s="211" t="n"/>
      <c r="F32" s="211" t="n"/>
      <c r="G32" s="211" t="n"/>
      <c r="H32" s="211" t="n"/>
      <c r="I32" s="211" t="n"/>
      <c r="J32" s="211" t="n"/>
      <c r="K32" s="211" t="n"/>
      <c r="L32" s="211" t="n"/>
      <c r="M32" s="211" t="n"/>
      <c r="N32" s="211" t="n"/>
      <c r="O32" s="211" t="n"/>
      <c r="P32" s="211" t="n"/>
      <c r="Q32" s="211" t="n"/>
      <c r="R32" s="211" t="n"/>
      <c r="S32" s="211" t="n"/>
      <c r="T32" s="211" t="n"/>
      <c r="U32" s="211" t="n"/>
      <c r="V32" s="211" t="n"/>
      <c r="W32" s="211" t="n"/>
      <c r="X32" s="211" t="n"/>
      <c r="Y32" s="211" t="n"/>
      <c r="Z32" s="211" t="n"/>
      <c r="AA32" s="211" t="n"/>
      <c r="AB32" s="211" t="n"/>
      <c r="AC32" s="211" t="n"/>
      <c r="AD32" s="211" t="n"/>
      <c r="AE32" s="211" t="n"/>
      <c r="AF32" s="211" t="n"/>
      <c r="AG32" s="211" t="n"/>
      <c r="AH32" s="211" t="n"/>
      <c r="AI32" s="211" t="n"/>
      <c r="AJ32" s="211" t="n"/>
      <c r="AK32" s="211" t="n"/>
      <c r="AL32" s="211" t="n"/>
      <c r="AM32" s="211" t="n"/>
      <c r="AN32" s="211" t="n"/>
      <c r="AO32" s="211" t="n"/>
      <c r="AP32" s="211" t="n"/>
      <c r="AQ32" s="211" t="n"/>
      <c r="AR32" s="211" t="n"/>
      <c r="AS32" s="211" t="n"/>
      <c r="AT32" s="211" t="n"/>
      <c r="AU32" s="211" t="n"/>
      <c r="AV32" s="211" t="n"/>
      <c r="AW32" s="66" t="n"/>
      <c r="BB32" s="59" t="n"/>
      <c r="BC32" s="59" t="n"/>
      <c r="BD32" s="59" t="n"/>
      <c r="BE32" s="59" t="n"/>
      <c r="BF32" s="59" t="n"/>
      <c r="BG32" s="59" t="n"/>
    </row>
  </sheetData>
  <mergeCells count="44">
    <mergeCell ref="A2:D2"/>
    <mergeCell ref="AY2:AZ2"/>
    <mergeCell ref="B3:D3"/>
    <mergeCell ref="AX3:AY3"/>
    <mergeCell ref="B4:D4"/>
    <mergeCell ref="E4:G4"/>
    <mergeCell ref="H4:J4"/>
    <mergeCell ref="K4:M4"/>
    <mergeCell ref="N4:P4"/>
    <mergeCell ref="Q4:S4"/>
    <mergeCell ref="AX4:AY4"/>
    <mergeCell ref="AF4:AH4"/>
    <mergeCell ref="AI4:AK4"/>
    <mergeCell ref="AL4:AN4"/>
    <mergeCell ref="AO4:AQ4"/>
    <mergeCell ref="AR4:AT4"/>
    <mergeCell ref="AU4:AW4"/>
    <mergeCell ref="B6:D6"/>
    <mergeCell ref="Z4:AB4"/>
    <mergeCell ref="AC4:AE4"/>
    <mergeCell ref="AX8:AX9"/>
    <mergeCell ref="B9:D9"/>
    <mergeCell ref="B7:D7"/>
    <mergeCell ref="B8:D8"/>
    <mergeCell ref="B5:D5"/>
    <mergeCell ref="T4:V4"/>
    <mergeCell ref="W4:Y4"/>
    <mergeCell ref="B11:D11"/>
    <mergeCell ref="B12:D12"/>
    <mergeCell ref="AX12:AY12"/>
    <mergeCell ref="B10:D10"/>
    <mergeCell ref="B13:D13"/>
    <mergeCell ref="B14:D14"/>
    <mergeCell ref="AX14:AX16"/>
    <mergeCell ref="B15:D15"/>
    <mergeCell ref="B16:D16"/>
    <mergeCell ref="B23:D23"/>
    <mergeCell ref="E25:F25"/>
    <mergeCell ref="B17:D17"/>
    <mergeCell ref="B18:D18"/>
    <mergeCell ref="B19:D19"/>
    <mergeCell ref="B20:D20"/>
    <mergeCell ref="B21:D21"/>
    <mergeCell ref="B22:D22"/>
  </mergeCells>
  <printOptions horizontalCentered="1"/>
  <pageMargins left="0.25" right="0.25" top="0.75" bottom="0.75" header="0.3" footer="0.3"/>
  <pageSetup orientation="landscape" paperSize="8" scale="22"/>
  <headerFooter>
    <oddHeader>&amp;R&amp;"HG丸ｺﾞｼｯｸM-PRO,標準"&amp;14 ＳＨＣ</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tabColor rgb="FF7030A0"/>
    <outlinePr summaryBelow="1" summaryRight="1"/>
    <pageSetUpPr fitToPage="1"/>
  </sheetPr>
  <dimension ref="A1:BG32"/>
  <sheetViews>
    <sheetView showGridLines="0" view="pageBreakPreview" topLeftCell="B1" zoomScale="34" zoomScaleNormal="100" zoomScaleSheetLayoutView="34" zoomScalePageLayoutView="80" workbookViewId="0">
      <pane xSplit="3" ySplit="6" topLeftCell="J7" activePane="bottomRight" state="frozen"/>
      <selection activeCell="B1" sqref="B1"/>
      <selection pane="topRight" activeCell="E1" sqref="E1"/>
      <selection pane="bottomLeft" activeCell="B6" sqref="B6"/>
      <selection pane="bottomRight" activeCell="U15" sqref="U15"/>
    </sheetView>
  </sheetViews>
  <sheetFormatPr baseColWidth="8" defaultColWidth="9" defaultRowHeight="20.25" customHeight="1" outlineLevelRow="1"/>
  <cols>
    <col width="9" customWidth="1" style="54" min="1" max="1"/>
    <col width="20.59765625" customWidth="1" style="55" min="2" max="2"/>
    <col width="20.59765625" customWidth="1" style="56" min="3" max="4"/>
    <col width="18.265625" customWidth="1" style="211" min="5" max="8"/>
    <col width="16.1328125" customWidth="1" style="211" min="9" max="9"/>
    <col width="18.265625" customWidth="1" style="211" min="10" max="22"/>
    <col width="23.33203125" bestFit="1" customWidth="1" style="211" min="23" max="23"/>
    <col width="18.265625" customWidth="1" style="211" min="24" max="43"/>
    <col width="23.33203125" bestFit="1" customWidth="1" style="211" min="44" max="44"/>
    <col width="18.265625" customWidth="1" style="211" min="45" max="46"/>
    <col width="23.33203125" bestFit="1" customWidth="1" style="211" min="47" max="47"/>
    <col width="18.265625" customWidth="1" style="211" min="48" max="48"/>
    <col width="18.265625" customWidth="1" style="66" min="49" max="49"/>
    <col width="10.06640625" customWidth="1" style="192" min="50" max="51"/>
    <col width="12.33203125" customWidth="1" style="192" min="52" max="52"/>
    <col width="2.33203125" customWidth="1" style="192" min="53" max="53"/>
    <col width="9" customWidth="1" style="59" min="54" max="58"/>
    <col width="25.796875" customWidth="1" style="59" min="59" max="59"/>
    <col width="9" customWidth="1" style="59" min="60" max="61"/>
    <col width="9" customWidth="1" style="59" min="62" max="16384"/>
  </cols>
  <sheetData>
    <row r="1" ht="20.25" customHeight="1" s="154">
      <c r="AW1" s="211" t="n"/>
    </row>
    <row r="2" ht="80.25" customFormat="1" customHeight="1" s="181">
      <c r="A2" s="180" t="inlineStr">
        <is>
          <t>2025年通期</t>
        </is>
      </c>
      <c r="E2" s="60" t="n"/>
      <c r="F2" s="60" t="n"/>
      <c r="G2" s="60" t="n"/>
      <c r="H2" s="60" t="n"/>
      <c r="I2" s="60" t="n"/>
      <c r="J2" s="60" t="n"/>
      <c r="K2" s="60" t="n"/>
      <c r="L2" s="60" t="n"/>
      <c r="M2" s="60" t="n"/>
      <c r="N2" s="60" t="n"/>
      <c r="O2" s="60" t="n"/>
      <c r="P2" s="60" t="n"/>
      <c r="Q2" s="60" t="n"/>
      <c r="R2" s="60" t="n"/>
      <c r="S2" s="60" t="n"/>
      <c r="T2" s="60" t="n"/>
      <c r="U2" s="60" t="n"/>
      <c r="V2" s="60" t="n"/>
      <c r="W2" s="60" t="n"/>
      <c r="X2" s="60" t="n"/>
      <c r="Y2" s="60" t="n"/>
      <c r="Z2" s="60" t="n"/>
      <c r="AA2" s="60" t="n"/>
      <c r="AB2" s="60" t="n"/>
      <c r="AC2" s="60" t="n"/>
      <c r="AD2" s="60" t="n"/>
      <c r="AE2" s="60" t="n"/>
      <c r="AF2" s="60" t="n"/>
      <c r="AG2" s="60" t="n"/>
      <c r="AH2" s="60" t="n"/>
      <c r="AI2" s="60" t="n"/>
      <c r="AJ2" s="60" t="n"/>
      <c r="AK2" s="60" t="n"/>
      <c r="AL2" s="60" t="n"/>
      <c r="AM2" s="60" t="n"/>
      <c r="AN2" s="60" t="n"/>
      <c r="AO2" s="60" t="n"/>
      <c r="AP2" s="60" t="n"/>
      <c r="AQ2" s="60" t="n"/>
      <c r="AR2" s="60" t="n"/>
      <c r="AS2" s="60" t="n"/>
      <c r="AT2" s="60" t="n"/>
      <c r="AU2" s="60" t="n"/>
      <c r="AV2" s="60" t="n"/>
      <c r="AW2" s="60" t="n"/>
      <c r="AX2" s="61" t="n"/>
      <c r="AY2" s="182" t="n"/>
      <c r="BA2" s="62" t="n"/>
    </row>
    <row r="3" ht="80.25" customFormat="1" customHeight="1" s="181" thickBot="1">
      <c r="A3" s="64" t="n"/>
      <c r="B3" s="183" t="inlineStr">
        <is>
          <t>紹介状況・目標</t>
        </is>
      </c>
      <c r="C3" s="184" t="n"/>
      <c r="D3" s="184" t="n"/>
      <c r="E3" s="60" t="n"/>
      <c r="F3" s="60" t="n"/>
      <c r="G3" s="60" t="n"/>
      <c r="H3" s="60" t="n"/>
      <c r="I3" s="60" t="n"/>
      <c r="J3" s="60" t="n"/>
      <c r="K3" s="60" t="n"/>
      <c r="L3" s="60" t="n"/>
      <c r="M3" s="60" t="n"/>
      <c r="N3" s="60" t="n"/>
      <c r="O3" s="60" t="n"/>
      <c r="P3" s="60" t="n"/>
      <c r="Q3" s="60" t="n"/>
      <c r="R3" s="60" t="n"/>
      <c r="S3" s="60" t="n"/>
      <c r="T3" s="60" t="n"/>
      <c r="U3" s="60" t="n"/>
      <c r="V3" s="60" t="n"/>
      <c r="W3" s="60" t="n"/>
      <c r="X3" s="60" t="n"/>
      <c r="Y3" s="60" t="n"/>
      <c r="Z3" s="60" t="n"/>
      <c r="AA3" s="60" t="n"/>
      <c r="AB3" s="60" t="n"/>
      <c r="AC3" s="60" t="n"/>
      <c r="AD3" s="60" t="n"/>
      <c r="AE3" s="60" t="n"/>
      <c r="AF3" s="60" t="n"/>
      <c r="AG3" s="60" t="n"/>
      <c r="AH3" s="60" t="n"/>
      <c r="AI3" s="60" t="n"/>
      <c r="AJ3" s="60" t="n"/>
      <c r="AK3" s="60" t="n"/>
      <c r="AL3" s="60" t="n"/>
      <c r="AM3" s="60" t="n"/>
      <c r="AN3" s="60" t="n"/>
      <c r="AO3" s="60" t="n"/>
      <c r="AP3" s="60" t="n"/>
      <c r="AQ3" s="60" t="n"/>
      <c r="AR3" s="60" t="n"/>
      <c r="AS3" s="60" t="n"/>
      <c r="AT3" s="60" t="n"/>
      <c r="AU3" s="60" t="n"/>
      <c r="AV3" s="60" t="n"/>
      <c r="AW3" s="60" t="inlineStr">
        <is>
          <t>単位(千円）</t>
        </is>
      </c>
      <c r="AX3" s="185" t="n"/>
    </row>
    <row r="4" ht="76.05" customHeight="1" s="154">
      <c r="B4" s="186" t="n"/>
      <c r="C4" s="187" t="n"/>
      <c r="D4" s="188" t="n"/>
      <c r="E4" s="189" t="inlineStr">
        <is>
          <t>４月</t>
        </is>
      </c>
      <c r="F4" s="187" t="n"/>
      <c r="G4" s="190" t="n"/>
      <c r="H4" s="189" t="inlineStr">
        <is>
          <t>5月</t>
        </is>
      </c>
      <c r="I4" s="187" t="n"/>
      <c r="J4" s="190" t="n"/>
      <c r="K4" s="189" t="inlineStr">
        <is>
          <t>6月</t>
        </is>
      </c>
      <c r="L4" s="187" t="n"/>
      <c r="M4" s="190" t="n"/>
      <c r="N4" s="189" t="inlineStr">
        <is>
          <t>7月</t>
        </is>
      </c>
      <c r="O4" s="187" t="n"/>
      <c r="P4" s="190" t="n"/>
      <c r="Q4" s="195" t="inlineStr">
        <is>
          <t>8月</t>
        </is>
      </c>
      <c r="R4" s="196" t="n"/>
      <c r="S4" s="197" t="n"/>
      <c r="T4" s="189" t="inlineStr">
        <is>
          <t>9月</t>
        </is>
      </c>
      <c r="U4" s="187" t="n"/>
      <c r="V4" s="190" t="n"/>
      <c r="W4" s="193" t="inlineStr">
        <is>
          <t xml:space="preserve">上期 </t>
        </is>
      </c>
      <c r="X4" s="187" t="n"/>
      <c r="Y4" s="190" t="n"/>
      <c r="Z4" s="189" t="inlineStr">
        <is>
          <t>10月</t>
        </is>
      </c>
      <c r="AA4" s="187" t="n"/>
      <c r="AB4" s="190" t="n"/>
      <c r="AC4" s="189" t="inlineStr">
        <is>
          <t>11月</t>
        </is>
      </c>
      <c r="AD4" s="187" t="n"/>
      <c r="AE4" s="190" t="n"/>
      <c r="AF4" s="189" t="inlineStr">
        <is>
          <t>12月</t>
        </is>
      </c>
      <c r="AG4" s="187" t="n"/>
      <c r="AH4" s="190" t="n"/>
      <c r="AI4" s="189" t="inlineStr">
        <is>
          <t>1月</t>
        </is>
      </c>
      <c r="AJ4" s="187" t="n"/>
      <c r="AK4" s="190" t="n"/>
      <c r="AL4" s="189" t="inlineStr">
        <is>
          <t>2月</t>
        </is>
      </c>
      <c r="AM4" s="187" t="n"/>
      <c r="AN4" s="190" t="n"/>
      <c r="AO4" s="189" t="inlineStr">
        <is>
          <t>3月</t>
        </is>
      </c>
      <c r="AP4" s="187" t="n"/>
      <c r="AQ4" s="190" t="n"/>
      <c r="AR4" s="193" t="inlineStr">
        <is>
          <t>下期</t>
        </is>
      </c>
      <c r="AS4" s="187" t="n"/>
      <c r="AT4" s="190" t="n"/>
      <c r="AU4" s="219" t="inlineStr">
        <is>
          <t>総合計</t>
        </is>
      </c>
      <c r="AV4" s="187" t="n"/>
      <c r="AW4" s="190" t="n"/>
      <c r="AX4" s="191" t="n"/>
      <c r="AZ4" s="191" t="n"/>
      <c r="BA4" s="191" t="n"/>
    </row>
    <row r="5" ht="88.5" customHeight="1" s="154">
      <c r="B5" s="204" t="n"/>
      <c r="C5" s="187" t="n"/>
      <c r="D5" s="190" t="n"/>
      <c r="E5" s="94" t="inlineStr">
        <is>
          <t>目標</t>
        </is>
      </c>
      <c r="F5" s="95" t="inlineStr">
        <is>
          <t>実績</t>
        </is>
      </c>
      <c r="G5" s="96" t="inlineStr">
        <is>
          <t>達成率</t>
        </is>
      </c>
      <c r="H5" s="94" t="inlineStr">
        <is>
          <t>目標</t>
        </is>
      </c>
      <c r="I5" s="95" t="inlineStr">
        <is>
          <t>実績</t>
        </is>
      </c>
      <c r="J5" s="96" t="inlineStr">
        <is>
          <t>達成率</t>
        </is>
      </c>
      <c r="K5" s="94" t="inlineStr">
        <is>
          <t>目標</t>
        </is>
      </c>
      <c r="L5" s="95" t="inlineStr">
        <is>
          <t>実績</t>
        </is>
      </c>
      <c r="M5" s="96" t="inlineStr">
        <is>
          <t>達成率</t>
        </is>
      </c>
      <c r="N5" s="94" t="inlineStr">
        <is>
          <t>目標</t>
        </is>
      </c>
      <c r="O5" s="95" t="inlineStr">
        <is>
          <t>実績</t>
        </is>
      </c>
      <c r="P5" s="96" t="inlineStr">
        <is>
          <t>達成率</t>
        </is>
      </c>
      <c r="Q5" s="94" t="inlineStr">
        <is>
          <t>目標</t>
        </is>
      </c>
      <c r="R5" s="95" t="inlineStr">
        <is>
          <t>実績</t>
        </is>
      </c>
      <c r="S5" s="96" t="inlineStr">
        <is>
          <t>達成率</t>
        </is>
      </c>
      <c r="T5" s="94" t="inlineStr">
        <is>
          <t>目標</t>
        </is>
      </c>
      <c r="U5" s="95" t="inlineStr">
        <is>
          <t>実績</t>
        </is>
      </c>
      <c r="V5" s="96" t="inlineStr">
        <is>
          <t>達成率</t>
        </is>
      </c>
      <c r="W5" s="94" t="inlineStr">
        <is>
          <t>目標</t>
        </is>
      </c>
      <c r="X5" s="95" t="inlineStr">
        <is>
          <t>実績</t>
        </is>
      </c>
      <c r="Y5" s="96" t="inlineStr">
        <is>
          <t>達成率</t>
        </is>
      </c>
      <c r="Z5" s="94" t="inlineStr">
        <is>
          <t>目標</t>
        </is>
      </c>
      <c r="AA5" s="95" t="inlineStr">
        <is>
          <t>実績</t>
        </is>
      </c>
      <c r="AB5" s="96" t="inlineStr">
        <is>
          <t>達成率</t>
        </is>
      </c>
      <c r="AC5" s="94" t="inlineStr">
        <is>
          <t>目標</t>
        </is>
      </c>
      <c r="AD5" s="95" t="inlineStr">
        <is>
          <t>実績</t>
        </is>
      </c>
      <c r="AE5" s="96" t="inlineStr">
        <is>
          <t>達成率</t>
        </is>
      </c>
      <c r="AF5" s="94" t="inlineStr">
        <is>
          <t>目標</t>
        </is>
      </c>
      <c r="AG5" s="95" t="inlineStr">
        <is>
          <t>実績</t>
        </is>
      </c>
      <c r="AH5" s="96" t="inlineStr">
        <is>
          <t>達成率</t>
        </is>
      </c>
      <c r="AI5" s="94" t="inlineStr">
        <is>
          <t>目標</t>
        </is>
      </c>
      <c r="AJ5" s="95" t="inlineStr">
        <is>
          <t>実績</t>
        </is>
      </c>
      <c r="AK5" s="96" t="inlineStr">
        <is>
          <t>達成率</t>
        </is>
      </c>
      <c r="AL5" s="94" t="inlineStr">
        <is>
          <t>目標</t>
        </is>
      </c>
      <c r="AM5" s="95" t="inlineStr">
        <is>
          <t>実績</t>
        </is>
      </c>
      <c r="AN5" s="96" t="inlineStr">
        <is>
          <t>達成率</t>
        </is>
      </c>
      <c r="AO5" s="94" t="inlineStr">
        <is>
          <t>目標</t>
        </is>
      </c>
      <c r="AP5" s="95" t="inlineStr">
        <is>
          <t>実績</t>
        </is>
      </c>
      <c r="AQ5" s="96" t="inlineStr">
        <is>
          <t>達成率</t>
        </is>
      </c>
      <c r="AR5" s="94" t="inlineStr">
        <is>
          <t>目標</t>
        </is>
      </c>
      <c r="AS5" s="95" t="inlineStr">
        <is>
          <t>実績</t>
        </is>
      </c>
      <c r="AT5" s="96" t="inlineStr">
        <is>
          <t>達成率</t>
        </is>
      </c>
      <c r="AU5" s="94" t="inlineStr">
        <is>
          <t>目標</t>
        </is>
      </c>
      <c r="AV5" s="95" t="inlineStr">
        <is>
          <t>実績</t>
        </is>
      </c>
      <c r="AW5" s="96" t="inlineStr">
        <is>
          <t>達成率</t>
        </is>
      </c>
      <c r="AX5" s="191" t="n"/>
      <c r="AY5" s="191" t="n"/>
      <c r="AZ5" s="191" t="n"/>
      <c r="BA5" s="191" t="n"/>
    </row>
    <row r="6" ht="99" customHeight="1" s="154">
      <c r="B6" s="220" t="inlineStr">
        <is>
          <t>総合計</t>
        </is>
      </c>
      <c r="C6" s="187" t="n"/>
      <c r="D6" s="188" t="n"/>
      <c r="E6" s="89">
        <f>E12+E17+E23</f>
        <v/>
      </c>
      <c r="F6" s="90">
        <f>F12+F17+F23</f>
        <v/>
      </c>
      <c r="G6" s="85">
        <f>F6/E6</f>
        <v/>
      </c>
      <c r="H6" s="79">
        <f>H12+H17+H23</f>
        <v/>
      </c>
      <c r="I6" s="78">
        <f>I12+I17+I23</f>
        <v/>
      </c>
      <c r="J6" s="85">
        <f>I6/H6</f>
        <v/>
      </c>
      <c r="K6" s="78">
        <f>K12+K17+K23</f>
        <v/>
      </c>
      <c r="L6" s="78">
        <f>L12+L17+L23</f>
        <v/>
      </c>
      <c r="M6" s="85">
        <f>L6/K6</f>
        <v/>
      </c>
      <c r="N6" s="78">
        <f>N12+N17+N23</f>
        <v/>
      </c>
      <c r="O6" s="78">
        <f>O12+O17+O23</f>
        <v/>
      </c>
      <c r="P6" s="85">
        <f>O6/N6</f>
        <v/>
      </c>
      <c r="Q6" s="114">
        <f>Q12+Q17+Q23</f>
        <v/>
      </c>
      <c r="R6" s="78">
        <f>R12+R17+R23</f>
        <v/>
      </c>
      <c r="S6" s="85">
        <f>R6/Q6</f>
        <v/>
      </c>
      <c r="T6" s="78">
        <f>T12+T17+T23</f>
        <v/>
      </c>
      <c r="U6" s="78">
        <f>U12+U17+U23</f>
        <v/>
      </c>
      <c r="V6" s="85">
        <f>U6/T6</f>
        <v/>
      </c>
      <c r="W6" s="78">
        <f>W12+W17+W23</f>
        <v/>
      </c>
      <c r="X6" s="78">
        <f>X12+X17+X23</f>
        <v/>
      </c>
      <c r="Y6" s="85">
        <f>X6/W6</f>
        <v/>
      </c>
      <c r="Z6" s="78">
        <f>Z12+Z17+Z23</f>
        <v/>
      </c>
      <c r="AA6" s="78">
        <f>AA12+AA17+AA23</f>
        <v/>
      </c>
      <c r="AB6" s="85">
        <f>AA6/Z6</f>
        <v/>
      </c>
      <c r="AC6" s="78">
        <f>AC12+AC17+AC23</f>
        <v/>
      </c>
      <c r="AD6" s="78">
        <f>AD12+AD17+AD23</f>
        <v/>
      </c>
      <c r="AE6" s="85">
        <f>AD6/AC6</f>
        <v/>
      </c>
      <c r="AF6" s="78">
        <f>AF12+AF17+AF23</f>
        <v/>
      </c>
      <c r="AG6" s="78">
        <f>AG12+AG17+AG23</f>
        <v/>
      </c>
      <c r="AH6" s="85">
        <f>AG6/AF6</f>
        <v/>
      </c>
      <c r="AI6" s="78">
        <f>AI12+AI17+AI23</f>
        <v/>
      </c>
      <c r="AJ6" s="78">
        <f>AJ12+AJ17+AJ23</f>
        <v/>
      </c>
      <c r="AK6" s="85">
        <f>AJ6/AI6</f>
        <v/>
      </c>
      <c r="AL6" s="78">
        <f>AL12+AL17+AL23</f>
        <v/>
      </c>
      <c r="AM6" s="78">
        <f>AM12+AM17+AM23</f>
        <v/>
      </c>
      <c r="AN6" s="85">
        <f>AM6/AL6</f>
        <v/>
      </c>
      <c r="AO6" s="78">
        <f>AO12+AO17+AO23</f>
        <v/>
      </c>
      <c r="AP6" s="78">
        <f>AP12+AP17+AP23</f>
        <v/>
      </c>
      <c r="AQ6" s="85">
        <f>AP6/AO6</f>
        <v/>
      </c>
      <c r="AR6" s="78">
        <f>AR12+AR17+AR23</f>
        <v/>
      </c>
      <c r="AS6" s="78">
        <f>AS12+AS17+AS23</f>
        <v/>
      </c>
      <c r="AT6" s="85">
        <f>AS6/AR6</f>
        <v/>
      </c>
      <c r="AU6" s="78">
        <f>AU12+AU17+AU23</f>
        <v/>
      </c>
      <c r="AV6" s="78">
        <f>AV12+AV17+AV23</f>
        <v/>
      </c>
      <c r="AW6" s="97">
        <f>AV6/AU6</f>
        <v/>
      </c>
      <c r="AX6" s="191" t="n"/>
      <c r="AY6" s="191" t="n"/>
      <c r="AZ6" s="191" t="n"/>
      <c r="BA6" s="191" t="n"/>
    </row>
    <row r="7" ht="80.25" customHeight="1" s="154">
      <c r="B7" s="208" t="inlineStr">
        <is>
          <t>外部紹介</t>
        </is>
      </c>
      <c r="C7" s="202" t="n"/>
      <c r="D7" s="203" t="n"/>
      <c r="E7" s="76" t="inlineStr">
        <is>
          <t>目標</t>
        </is>
      </c>
      <c r="F7" s="92" t="inlineStr">
        <is>
          <t>実績</t>
        </is>
      </c>
      <c r="G7" s="108" t="inlineStr">
        <is>
          <t>達成率</t>
        </is>
      </c>
      <c r="H7" s="73" t="inlineStr">
        <is>
          <t>目標</t>
        </is>
      </c>
      <c r="I7" s="68" t="inlineStr">
        <is>
          <t>実績</t>
        </is>
      </c>
      <c r="J7" s="108" t="inlineStr">
        <is>
          <t>達成率</t>
        </is>
      </c>
      <c r="K7" s="68" t="inlineStr">
        <is>
          <t>目標</t>
        </is>
      </c>
      <c r="L7" s="68" t="inlineStr">
        <is>
          <t>実績</t>
        </is>
      </c>
      <c r="M7" s="108" t="inlineStr">
        <is>
          <t>達成率</t>
        </is>
      </c>
      <c r="N7" s="68" t="inlineStr">
        <is>
          <t>目標</t>
        </is>
      </c>
      <c r="O7" s="68" t="inlineStr">
        <is>
          <t>実績</t>
        </is>
      </c>
      <c r="P7" s="108" t="inlineStr">
        <is>
          <t>達成率</t>
        </is>
      </c>
      <c r="Q7" s="76" t="inlineStr">
        <is>
          <t>目標</t>
        </is>
      </c>
      <c r="R7" s="68" t="inlineStr">
        <is>
          <t>実績</t>
        </is>
      </c>
      <c r="S7" s="108" t="inlineStr">
        <is>
          <t>達成率</t>
        </is>
      </c>
      <c r="T7" s="68" t="inlineStr">
        <is>
          <t>目標</t>
        </is>
      </c>
      <c r="U7" s="68" t="inlineStr">
        <is>
          <t>実績</t>
        </is>
      </c>
      <c r="V7" s="108" t="inlineStr">
        <is>
          <t>達成率</t>
        </is>
      </c>
      <c r="W7" s="68" t="inlineStr">
        <is>
          <t>目標</t>
        </is>
      </c>
      <c r="X7" s="68" t="inlineStr">
        <is>
          <t>実績</t>
        </is>
      </c>
      <c r="Y7" s="108" t="inlineStr">
        <is>
          <t>達成率</t>
        </is>
      </c>
      <c r="Z7" s="68" t="inlineStr">
        <is>
          <t>目標</t>
        </is>
      </c>
      <c r="AA7" s="68" t="inlineStr">
        <is>
          <t>実績</t>
        </is>
      </c>
      <c r="AB7" s="108" t="inlineStr">
        <is>
          <t>達成率</t>
        </is>
      </c>
      <c r="AC7" s="68" t="inlineStr">
        <is>
          <t>目標</t>
        </is>
      </c>
      <c r="AD7" s="68" t="inlineStr">
        <is>
          <t>実績</t>
        </is>
      </c>
      <c r="AE7" s="108" t="inlineStr">
        <is>
          <t>達成率</t>
        </is>
      </c>
      <c r="AF7" s="68" t="inlineStr">
        <is>
          <t>目標</t>
        </is>
      </c>
      <c r="AG7" s="68" t="inlineStr">
        <is>
          <t>実績</t>
        </is>
      </c>
      <c r="AH7" s="108" t="inlineStr">
        <is>
          <t>達成率</t>
        </is>
      </c>
      <c r="AI7" s="68" t="inlineStr">
        <is>
          <t>目標</t>
        </is>
      </c>
      <c r="AJ7" s="68" t="inlineStr">
        <is>
          <t>実績</t>
        </is>
      </c>
      <c r="AK7" s="108" t="inlineStr">
        <is>
          <t>達成率</t>
        </is>
      </c>
      <c r="AL7" s="68" t="inlineStr">
        <is>
          <t>目標</t>
        </is>
      </c>
      <c r="AM7" s="68" t="inlineStr">
        <is>
          <t>実績</t>
        </is>
      </c>
      <c r="AN7" s="108" t="inlineStr">
        <is>
          <t>達成率</t>
        </is>
      </c>
      <c r="AO7" s="68" t="inlineStr">
        <is>
          <t>目標</t>
        </is>
      </c>
      <c r="AP7" s="68" t="inlineStr">
        <is>
          <t>実績</t>
        </is>
      </c>
      <c r="AQ7" s="108" t="inlineStr">
        <is>
          <t>達成率</t>
        </is>
      </c>
      <c r="AR7" s="68" t="inlineStr">
        <is>
          <t>目標</t>
        </is>
      </c>
      <c r="AS7" s="68" t="inlineStr">
        <is>
          <t>実績</t>
        </is>
      </c>
      <c r="AT7" s="108" t="inlineStr">
        <is>
          <t>達成率</t>
        </is>
      </c>
      <c r="AU7" s="68" t="inlineStr">
        <is>
          <t>目標</t>
        </is>
      </c>
      <c r="AV7" s="68" t="inlineStr">
        <is>
          <t>実績</t>
        </is>
      </c>
      <c r="AW7" s="108" t="inlineStr">
        <is>
          <t>達成率</t>
        </is>
      </c>
      <c r="AX7" s="191" t="n"/>
      <c r="AY7" s="191" t="n"/>
      <c r="BA7" s="54" t="n"/>
    </row>
    <row r="8" ht="80.25" customHeight="1" s="154">
      <c r="B8" s="198" t="inlineStr">
        <is>
          <t>技人国</t>
        </is>
      </c>
      <c r="C8" s="199" t="n"/>
      <c r="D8" s="200" t="n"/>
      <c r="E8" s="74" t="n">
        <v>900</v>
      </c>
      <c r="F8" s="86" t="n">
        <v>400</v>
      </c>
      <c r="G8" s="93">
        <f>F8/E8</f>
        <v/>
      </c>
      <c r="H8" s="71" t="n">
        <v>900</v>
      </c>
      <c r="I8" s="67" t="n">
        <v>0</v>
      </c>
      <c r="J8" s="93">
        <f>I8/H8</f>
        <v/>
      </c>
      <c r="K8" s="67" t="n">
        <v>900</v>
      </c>
      <c r="L8" s="67" t="n">
        <v>0</v>
      </c>
      <c r="M8" s="93">
        <f>L8/K8</f>
        <v/>
      </c>
      <c r="N8" s="67" t="n">
        <v>900</v>
      </c>
      <c r="O8" s="67" t="n">
        <v>0</v>
      </c>
      <c r="P8" s="93">
        <f>O8/N8</f>
        <v/>
      </c>
      <c r="Q8" s="74" t="n">
        <v>900</v>
      </c>
      <c r="R8" s="67" t="n">
        <v>414</v>
      </c>
      <c r="S8" s="93">
        <f>R8/Q8</f>
        <v/>
      </c>
      <c r="T8" s="67" t="n">
        <v>900</v>
      </c>
      <c r="U8" s="67" t="n">
        <v>0</v>
      </c>
      <c r="V8" s="93">
        <f>U8/T8</f>
        <v/>
      </c>
      <c r="W8" s="67">
        <f>E8+H8+K8+N8+Q8+T8</f>
        <v/>
      </c>
      <c r="X8" s="67">
        <f>F8+I8+L8+O8+R8+U8</f>
        <v/>
      </c>
      <c r="Y8" s="93">
        <f>X8/W8</f>
        <v/>
      </c>
      <c r="Z8" s="67" t="n">
        <v>900</v>
      </c>
      <c r="AA8" s="67" t="n"/>
      <c r="AB8" s="93">
        <f>AA8/Z8</f>
        <v/>
      </c>
      <c r="AC8" s="67" t="n">
        <v>900</v>
      </c>
      <c r="AD8" s="67" t="n"/>
      <c r="AE8" s="93">
        <f>AD8/AC8</f>
        <v/>
      </c>
      <c r="AF8" s="67" t="n">
        <v>900</v>
      </c>
      <c r="AG8" s="67" t="n"/>
      <c r="AH8" s="93">
        <f>AG8/AF8</f>
        <v/>
      </c>
      <c r="AI8" s="67" t="n">
        <v>900</v>
      </c>
      <c r="AJ8" s="67" t="n"/>
      <c r="AK8" s="93">
        <f>AJ8/AI8</f>
        <v/>
      </c>
      <c r="AL8" s="67" t="n">
        <v>900</v>
      </c>
      <c r="AM8" s="67" t="n"/>
      <c r="AN8" s="93">
        <f>AM8/AL8</f>
        <v/>
      </c>
      <c r="AO8" s="67" t="n">
        <v>900</v>
      </c>
      <c r="AP8" s="67" t="n"/>
      <c r="AQ8" s="93">
        <f>AP8/AO8</f>
        <v/>
      </c>
      <c r="AR8" s="67">
        <f>SUM(Z8:AP8)</f>
        <v/>
      </c>
      <c r="AS8" s="67">
        <f>AA8+AD8+AG8+AJ8+AM8+AP8</f>
        <v/>
      </c>
      <c r="AT8" s="93">
        <f>AS8/AR8</f>
        <v/>
      </c>
      <c r="AU8" s="67">
        <f>W8+AR8</f>
        <v/>
      </c>
      <c r="AV8" s="67">
        <f>X8+AS8</f>
        <v/>
      </c>
      <c r="AW8" s="98">
        <f>AV8/AU8</f>
        <v/>
      </c>
      <c r="AX8" s="191" t="n"/>
      <c r="BA8" s="54" t="n"/>
    </row>
    <row r="9" ht="80.25" customHeight="1" s="154">
      <c r="B9" s="198" t="inlineStr">
        <is>
          <t>特定技能</t>
        </is>
      </c>
      <c r="C9" s="199" t="n"/>
      <c r="D9" s="200" t="n"/>
      <c r="E9" s="74" t="n">
        <v>200</v>
      </c>
      <c r="F9" s="67" t="n">
        <v>0</v>
      </c>
      <c r="G9" s="93">
        <f>F9/E9</f>
        <v/>
      </c>
      <c r="H9" s="71" t="n">
        <v>200</v>
      </c>
      <c r="I9" s="67" t="n">
        <v>200</v>
      </c>
      <c r="J9" s="93">
        <f>I9/H9</f>
        <v/>
      </c>
      <c r="K9" s="67" t="n">
        <v>200</v>
      </c>
      <c r="L9" s="67" t="n">
        <v>0</v>
      </c>
      <c r="M9" s="93">
        <f>L9/K9</f>
        <v/>
      </c>
      <c r="N9" s="67" t="n">
        <v>200</v>
      </c>
      <c r="O9" s="67" t="n">
        <v>0</v>
      </c>
      <c r="P9" s="93">
        <f>O9/N9</f>
        <v/>
      </c>
      <c r="Q9" s="74" t="n">
        <v>200</v>
      </c>
      <c r="R9" s="67" t="n">
        <v>0</v>
      </c>
      <c r="S9" s="93">
        <f>R9/Q9</f>
        <v/>
      </c>
      <c r="T9" s="67" t="n">
        <v>200</v>
      </c>
      <c r="U9" s="67" t="n">
        <v>0</v>
      </c>
      <c r="V9" s="93">
        <f>U9/T9</f>
        <v/>
      </c>
      <c r="W9" s="67">
        <f>E9+H9+K9+N9+Q9+T9</f>
        <v/>
      </c>
      <c r="X9" s="67">
        <f>F9+I9+L9+O9+R9+U9</f>
        <v/>
      </c>
      <c r="Y9" s="93">
        <f>X9/W9</f>
        <v/>
      </c>
      <c r="Z9" s="67" t="n">
        <v>200</v>
      </c>
      <c r="AA9" s="67" t="n"/>
      <c r="AB9" s="93">
        <f>AA9/Z9</f>
        <v/>
      </c>
      <c r="AC9" s="67" t="n">
        <v>200</v>
      </c>
      <c r="AD9" s="67" t="n"/>
      <c r="AE9" s="93">
        <f>AD9/AC9</f>
        <v/>
      </c>
      <c r="AF9" s="67" t="n">
        <v>200</v>
      </c>
      <c r="AG9" s="67" t="n"/>
      <c r="AH9" s="93">
        <f>AG9/AF9</f>
        <v/>
      </c>
      <c r="AI9" s="67" t="n">
        <v>200</v>
      </c>
      <c r="AJ9" s="67" t="n"/>
      <c r="AK9" s="93">
        <f>AJ9/AI9</f>
        <v/>
      </c>
      <c r="AL9" s="67" t="n">
        <v>200</v>
      </c>
      <c r="AM9" s="67" t="n"/>
      <c r="AN9" s="93">
        <f>AM9/AL9</f>
        <v/>
      </c>
      <c r="AO9" s="67" t="n">
        <v>200</v>
      </c>
      <c r="AP9" s="67" t="n"/>
      <c r="AQ9" s="93">
        <f>AP9/AO9</f>
        <v/>
      </c>
      <c r="AR9" s="67">
        <f>Z9+AC9+AF9+AI9+AL9+AO9</f>
        <v/>
      </c>
      <c r="AS9" s="67">
        <f>AA9+AD9+AG9+AJ9+AM9+AP9</f>
        <v/>
      </c>
      <c r="AT9" s="93">
        <f>AS9/AR9</f>
        <v/>
      </c>
      <c r="AU9" s="67">
        <f>W9+AR9</f>
        <v/>
      </c>
      <c r="AV9" s="67">
        <f>X9+AS9</f>
        <v/>
      </c>
      <c r="AW9" s="98">
        <f>AV9/AU9</f>
        <v/>
      </c>
      <c r="BA9" s="54" t="n"/>
    </row>
    <row r="10" outlineLevel="1" ht="80.25" customHeight="1" s="154">
      <c r="B10" s="198" t="inlineStr">
        <is>
          <t>アルバイト</t>
        </is>
      </c>
      <c r="C10" s="199" t="n"/>
      <c r="D10" s="200" t="n"/>
      <c r="E10" s="74" t="n"/>
      <c r="F10" s="67" t="n">
        <v>60</v>
      </c>
      <c r="G10" s="93">
        <f>F10/E10</f>
        <v/>
      </c>
      <c r="H10" s="71" t="n"/>
      <c r="I10" s="67" t="n">
        <v>0</v>
      </c>
      <c r="J10" s="93">
        <f>I10/H10</f>
        <v/>
      </c>
      <c r="K10" s="67" t="n"/>
      <c r="L10" s="67" t="n">
        <v>30</v>
      </c>
      <c r="M10" s="93">
        <f>L10/K10</f>
        <v/>
      </c>
      <c r="N10" s="67" t="n"/>
      <c r="O10" s="67" t="n">
        <v>180</v>
      </c>
      <c r="P10" s="93">
        <f>O10/N10</f>
        <v/>
      </c>
      <c r="Q10" s="74" t="n"/>
      <c r="R10" s="67" t="n">
        <v>0</v>
      </c>
      <c r="S10" s="93">
        <f>R10/Q10</f>
        <v/>
      </c>
      <c r="T10" s="67" t="n"/>
      <c r="U10" s="67" t="n">
        <v>0</v>
      </c>
      <c r="V10" s="93">
        <f>U10/T10</f>
        <v/>
      </c>
      <c r="W10" s="67">
        <f>E10+H10+K10+N10+Q10+T10</f>
        <v/>
      </c>
      <c r="X10" s="67">
        <f>F10+I10+L10+O10+R10+U10</f>
        <v/>
      </c>
      <c r="Y10" s="93">
        <f>X10/W10</f>
        <v/>
      </c>
      <c r="Z10" s="67" t="n"/>
      <c r="AA10" s="67" t="n"/>
      <c r="AB10" s="93">
        <f>AA10/Z10</f>
        <v/>
      </c>
      <c r="AC10" s="67" t="n"/>
      <c r="AD10" s="67" t="n"/>
      <c r="AE10" s="93">
        <f>AD10/AC10</f>
        <v/>
      </c>
      <c r="AF10" s="67" t="n"/>
      <c r="AG10" s="67" t="n"/>
      <c r="AH10" s="93">
        <f>AG10/AF10</f>
        <v/>
      </c>
      <c r="AI10" s="67" t="n"/>
      <c r="AJ10" s="67" t="n"/>
      <c r="AK10" s="93">
        <f>AJ10/AI10</f>
        <v/>
      </c>
      <c r="AL10" s="67" t="n"/>
      <c r="AM10" s="67" t="n"/>
      <c r="AN10" s="93">
        <f>AM10/AL10</f>
        <v/>
      </c>
      <c r="AO10" s="67" t="n"/>
      <c r="AP10" s="67" t="n"/>
      <c r="AQ10" s="93">
        <f>AP10/AO10</f>
        <v/>
      </c>
      <c r="AR10" s="67">
        <f>Z10+AC10+AF10+AI10+AL10+AO10</f>
        <v/>
      </c>
      <c r="AS10" s="67">
        <f>AA10+AD10+AG10+AJ10+AM10+AP10</f>
        <v/>
      </c>
      <c r="AT10" s="93">
        <f>AS10/AR10</f>
        <v/>
      </c>
      <c r="AU10" s="67">
        <f>W10+AR10</f>
        <v/>
      </c>
      <c r="AV10" s="67">
        <f>X10+AS10</f>
        <v/>
      </c>
      <c r="AW10" s="98">
        <f>AV10/AU10</f>
        <v/>
      </c>
      <c r="BA10" s="54" t="n"/>
    </row>
    <row r="11" outlineLevel="1" ht="80.25" customHeight="1" s="154">
      <c r="B11" s="198" t="inlineStr">
        <is>
          <t>支援業務</t>
        </is>
      </c>
      <c r="C11" s="199" t="n"/>
      <c r="D11" s="200" t="n"/>
      <c r="E11" s="75" t="n"/>
      <c r="F11" s="67" t="n">
        <v>70</v>
      </c>
      <c r="G11" s="93">
        <f>F11/E11</f>
        <v/>
      </c>
      <c r="H11" s="72" t="n"/>
      <c r="I11" s="70" t="n">
        <v>65</v>
      </c>
      <c r="J11" s="93">
        <f>I11/H11</f>
        <v/>
      </c>
      <c r="K11" s="70" t="n"/>
      <c r="L11" s="70" t="n">
        <v>65</v>
      </c>
      <c r="M11" s="93">
        <f>L11/K11</f>
        <v/>
      </c>
      <c r="N11" s="70" t="n"/>
      <c r="O11" s="70" t="n">
        <v>65</v>
      </c>
      <c r="P11" s="93">
        <f>O11/N11</f>
        <v/>
      </c>
      <c r="Q11" s="75" t="n"/>
      <c r="R11" s="70" t="n">
        <v>85</v>
      </c>
      <c r="S11" s="93">
        <f>R11/Q11</f>
        <v/>
      </c>
      <c r="T11" s="70" t="n"/>
      <c r="U11" s="70" t="n">
        <v>85</v>
      </c>
      <c r="V11" s="93">
        <f>U11/T11</f>
        <v/>
      </c>
      <c r="W11" s="70" t="n"/>
      <c r="X11" s="70">
        <f>F11+I11+L11+O11+R11+U11</f>
        <v/>
      </c>
      <c r="Y11" s="93">
        <f>X11/W11</f>
        <v/>
      </c>
      <c r="Z11" s="70" t="n"/>
      <c r="AA11" s="70" t="n"/>
      <c r="AB11" s="93">
        <f>AA11/Z11</f>
        <v/>
      </c>
      <c r="AC11" s="70" t="n"/>
      <c r="AD11" s="70" t="n"/>
      <c r="AE11" s="93">
        <f>AD11/AC11</f>
        <v/>
      </c>
      <c r="AF11" s="70" t="n"/>
      <c r="AG11" s="70" t="n"/>
      <c r="AH11" s="93">
        <f>AG11/AF11</f>
        <v/>
      </c>
      <c r="AI11" s="70" t="n"/>
      <c r="AJ11" s="70" t="n"/>
      <c r="AK11" s="93">
        <f>AJ11/AI11</f>
        <v/>
      </c>
      <c r="AL11" s="70" t="n"/>
      <c r="AM11" s="70" t="n"/>
      <c r="AN11" s="93">
        <f>AM11/AL11</f>
        <v/>
      </c>
      <c r="AO11" s="70" t="n"/>
      <c r="AP11" s="70" t="n"/>
      <c r="AQ11" s="93">
        <f>AP11/AO11</f>
        <v/>
      </c>
      <c r="AR11" s="70" t="n"/>
      <c r="AS11" s="70">
        <f>AA11+AD11+AG11+AJ11+AM11+AP11</f>
        <v/>
      </c>
      <c r="AT11" s="93">
        <f>AS11/AR11</f>
        <v/>
      </c>
      <c r="AU11" s="70">
        <f>W11+AR11</f>
        <v/>
      </c>
      <c r="AV11" s="70">
        <f>X11+AS11</f>
        <v/>
      </c>
      <c r="AW11" s="98">
        <f>AV11/AU11</f>
        <v/>
      </c>
      <c r="BA11" s="54" t="n"/>
    </row>
    <row r="12" ht="80.25" customHeight="1" s="154">
      <c r="B12" s="221" t="inlineStr">
        <is>
          <t>小計</t>
        </is>
      </c>
      <c r="C12" s="206" t="n"/>
      <c r="D12" s="207" t="n"/>
      <c r="E12" s="81">
        <f>E8+E9+E10+E11</f>
        <v/>
      </c>
      <c r="F12" s="87">
        <f>F8+F9+F10+F11</f>
        <v/>
      </c>
      <c r="G12" s="88">
        <f>F12/E12</f>
        <v/>
      </c>
      <c r="H12" s="82">
        <f>H8+H9+H10+H11</f>
        <v/>
      </c>
      <c r="I12" s="83">
        <f>I8+I9+I10+I11</f>
        <v/>
      </c>
      <c r="J12" s="88">
        <f>I12/H12</f>
        <v/>
      </c>
      <c r="K12" s="83">
        <f>K8+K9+K10+K11</f>
        <v/>
      </c>
      <c r="L12" s="83">
        <f>L8+L9+L10+L11</f>
        <v/>
      </c>
      <c r="M12" s="88">
        <f>L12/K12</f>
        <v/>
      </c>
      <c r="N12" s="83">
        <f>N8+N9+N10+N11</f>
        <v/>
      </c>
      <c r="O12" s="83">
        <f>O8+O9+O10+O11</f>
        <v/>
      </c>
      <c r="P12" s="88">
        <f>O12/N12</f>
        <v/>
      </c>
      <c r="Q12" s="81">
        <f>Q8+Q9+Q10+Q11</f>
        <v/>
      </c>
      <c r="R12" s="83">
        <f>R8+R9+R10+R11</f>
        <v/>
      </c>
      <c r="S12" s="88">
        <f>R12/Q12</f>
        <v/>
      </c>
      <c r="T12" s="83">
        <f>T8+T9+T10</f>
        <v/>
      </c>
      <c r="U12" s="83">
        <f>U8+U9+U10+U11</f>
        <v/>
      </c>
      <c r="V12" s="88">
        <f>U12/T12</f>
        <v/>
      </c>
      <c r="W12" s="83">
        <f>W8+W9+W10+W11</f>
        <v/>
      </c>
      <c r="X12" s="83">
        <f>X8+X9+X10+X11</f>
        <v/>
      </c>
      <c r="Y12" s="93">
        <f>X12/W12</f>
        <v/>
      </c>
      <c r="Z12" s="83">
        <f>Z8+Z9+Z10+Z11</f>
        <v/>
      </c>
      <c r="AA12" s="83">
        <f>AA8+AA9+AA10+AA11</f>
        <v/>
      </c>
      <c r="AB12" s="88">
        <f>AA12/Z12</f>
        <v/>
      </c>
      <c r="AC12" s="83">
        <f>AC8+AC9+AC10+AC11</f>
        <v/>
      </c>
      <c r="AD12" s="83">
        <f>AD8+AD9+AD10+AD11</f>
        <v/>
      </c>
      <c r="AE12" s="88">
        <f>AD12/AC12</f>
        <v/>
      </c>
      <c r="AF12" s="83">
        <f>AF8+AF9+AF10+AF11</f>
        <v/>
      </c>
      <c r="AG12" s="83">
        <f>AG8+AG9+AG10+AG11</f>
        <v/>
      </c>
      <c r="AH12" s="88">
        <f>AG12/AF12</f>
        <v/>
      </c>
      <c r="AI12" s="83">
        <f>AI8+AI9+AI10+AI11</f>
        <v/>
      </c>
      <c r="AJ12" s="83">
        <f>AJ8+AJ9+AJ10+AJ11</f>
        <v/>
      </c>
      <c r="AK12" s="88">
        <f>AJ12/AI12</f>
        <v/>
      </c>
      <c r="AL12" s="83">
        <f>AL8+AL9+AL10+AL11</f>
        <v/>
      </c>
      <c r="AM12" s="83">
        <f>AM8+AM9+AM10+AM11</f>
        <v/>
      </c>
      <c r="AN12" s="88">
        <f>AM12/AL12</f>
        <v/>
      </c>
      <c r="AO12" s="83">
        <f>AO8+AO9+AO10+AO11</f>
        <v/>
      </c>
      <c r="AP12" s="83">
        <f>AP8+AP9+AP10+AP11</f>
        <v/>
      </c>
      <c r="AQ12" s="88">
        <f>AP12/AO12</f>
        <v/>
      </c>
      <c r="AR12" s="83">
        <f>AR8+AR9+AR10+AR11</f>
        <v/>
      </c>
      <c r="AS12" s="83">
        <f>AS8+AS9+AS10+AS11</f>
        <v/>
      </c>
      <c r="AT12" s="93">
        <f>AS12/AR12</f>
        <v/>
      </c>
      <c r="AU12" s="83">
        <f>AU8+AU9+AU10+AU11</f>
        <v/>
      </c>
      <c r="AV12" s="83">
        <f>AV8+AV9+AV10+AV11</f>
        <v/>
      </c>
      <c r="AW12" s="98">
        <f>AV12/AU12</f>
        <v/>
      </c>
      <c r="AX12" s="191" t="n"/>
      <c r="BA12" s="54" t="n"/>
    </row>
    <row r="13" outlineLevel="1" ht="80.25" customHeight="1" s="154">
      <c r="B13" s="222" t="inlineStr">
        <is>
          <t>試験対策</t>
        </is>
      </c>
      <c r="C13" s="202" t="n"/>
      <c r="D13" s="203" t="n"/>
      <c r="E13" s="103" t="inlineStr">
        <is>
          <t>目標</t>
        </is>
      </c>
      <c r="F13" s="104" t="inlineStr">
        <is>
          <t>実績</t>
        </is>
      </c>
      <c r="G13" s="105" t="inlineStr">
        <is>
          <t>達成率</t>
        </is>
      </c>
      <c r="H13" s="106" t="inlineStr">
        <is>
          <t>目標</t>
        </is>
      </c>
      <c r="I13" s="107" t="inlineStr">
        <is>
          <t>実績</t>
        </is>
      </c>
      <c r="J13" s="105" t="inlineStr">
        <is>
          <t>達成率</t>
        </is>
      </c>
      <c r="K13" s="107" t="inlineStr">
        <is>
          <t>目標</t>
        </is>
      </c>
      <c r="L13" s="107" t="inlineStr">
        <is>
          <t>実績</t>
        </is>
      </c>
      <c r="M13" s="105" t="inlineStr">
        <is>
          <t>達成率</t>
        </is>
      </c>
      <c r="N13" s="107" t="inlineStr">
        <is>
          <t>目標</t>
        </is>
      </c>
      <c r="O13" s="107" t="inlineStr">
        <is>
          <t>実績</t>
        </is>
      </c>
      <c r="P13" s="105" t="inlineStr">
        <is>
          <t>達成率</t>
        </is>
      </c>
      <c r="Q13" s="103" t="inlineStr">
        <is>
          <t>目標</t>
        </is>
      </c>
      <c r="R13" s="107" t="inlineStr">
        <is>
          <t>実績</t>
        </is>
      </c>
      <c r="S13" s="105" t="inlineStr">
        <is>
          <t>達成率</t>
        </is>
      </c>
      <c r="T13" s="107" t="inlineStr">
        <is>
          <t>目標</t>
        </is>
      </c>
      <c r="U13" s="107" t="inlineStr">
        <is>
          <t>実績</t>
        </is>
      </c>
      <c r="V13" s="105" t="inlineStr">
        <is>
          <t>達成率</t>
        </is>
      </c>
      <c r="W13" s="107" t="inlineStr">
        <is>
          <t>目標</t>
        </is>
      </c>
      <c r="X13" s="107" t="inlineStr">
        <is>
          <t>実績</t>
        </is>
      </c>
      <c r="Y13" s="105" t="inlineStr">
        <is>
          <t>達成率</t>
        </is>
      </c>
      <c r="Z13" s="107" t="inlineStr">
        <is>
          <t>目標</t>
        </is>
      </c>
      <c r="AA13" s="107" t="inlineStr">
        <is>
          <t>実績</t>
        </is>
      </c>
      <c r="AB13" s="105" t="inlineStr">
        <is>
          <t>達成率</t>
        </is>
      </c>
      <c r="AC13" s="107" t="inlineStr">
        <is>
          <t>目標</t>
        </is>
      </c>
      <c r="AD13" s="107" t="inlineStr">
        <is>
          <t>実績</t>
        </is>
      </c>
      <c r="AE13" s="105" t="inlineStr">
        <is>
          <t>達成率</t>
        </is>
      </c>
      <c r="AF13" s="107" t="inlineStr">
        <is>
          <t>目標</t>
        </is>
      </c>
      <c r="AG13" s="107" t="inlineStr">
        <is>
          <t>実績</t>
        </is>
      </c>
      <c r="AH13" s="105" t="inlineStr">
        <is>
          <t>達成率</t>
        </is>
      </c>
      <c r="AI13" s="107" t="inlineStr">
        <is>
          <t>目標</t>
        </is>
      </c>
      <c r="AJ13" s="107" t="inlineStr">
        <is>
          <t>実績</t>
        </is>
      </c>
      <c r="AK13" s="105" t="inlineStr">
        <is>
          <t>達成率</t>
        </is>
      </c>
      <c r="AL13" s="107" t="inlineStr">
        <is>
          <t>目標</t>
        </is>
      </c>
      <c r="AM13" s="107" t="inlineStr">
        <is>
          <t>実績</t>
        </is>
      </c>
      <c r="AN13" s="105" t="inlineStr">
        <is>
          <t>達成率</t>
        </is>
      </c>
      <c r="AO13" s="107" t="inlineStr">
        <is>
          <t>目標</t>
        </is>
      </c>
      <c r="AP13" s="107" t="inlineStr">
        <is>
          <t>実績</t>
        </is>
      </c>
      <c r="AQ13" s="105" t="inlineStr">
        <is>
          <t>達成率</t>
        </is>
      </c>
      <c r="AR13" s="107" t="inlineStr">
        <is>
          <t>目標</t>
        </is>
      </c>
      <c r="AS13" s="107" t="inlineStr">
        <is>
          <t>実績</t>
        </is>
      </c>
      <c r="AT13" s="105" t="inlineStr">
        <is>
          <t>達成率</t>
        </is>
      </c>
      <c r="AU13" s="107" t="inlineStr">
        <is>
          <t>目標</t>
        </is>
      </c>
      <c r="AV13" s="107" t="inlineStr">
        <is>
          <t>実績</t>
        </is>
      </c>
      <c r="AW13" s="105" t="inlineStr">
        <is>
          <t>達成率</t>
        </is>
      </c>
      <c r="BA13" s="54" t="n"/>
    </row>
    <row r="14" ht="80.25" customHeight="1" s="154">
      <c r="B14" s="198" t="inlineStr">
        <is>
          <t>ビルクリーン</t>
        </is>
      </c>
      <c r="C14" s="199" t="n"/>
      <c r="D14" s="200" t="n"/>
      <c r="E14" s="74" t="n">
        <v>0</v>
      </c>
      <c r="F14" s="67" t="n">
        <v>87.90000000000001</v>
      </c>
      <c r="G14" s="93">
        <f>F14/E14</f>
        <v/>
      </c>
      <c r="H14" s="71" t="n">
        <v>400</v>
      </c>
      <c r="I14" s="67" t="n">
        <v>149.4</v>
      </c>
      <c r="J14" s="93">
        <f>I14/H14</f>
        <v/>
      </c>
      <c r="K14" s="67" t="n">
        <v>0</v>
      </c>
      <c r="L14" s="67" t="n">
        <v>67.2</v>
      </c>
      <c r="M14" s="93">
        <f>L14/K14</f>
        <v/>
      </c>
      <c r="N14" s="67" t="n">
        <v>400</v>
      </c>
      <c r="O14" s="67" t="n">
        <v>124.2</v>
      </c>
      <c r="P14" s="93">
        <f>O14/N14</f>
        <v/>
      </c>
      <c r="Q14" s="74" t="n">
        <v>0</v>
      </c>
      <c r="R14" s="67" t="n">
        <v>186</v>
      </c>
      <c r="S14" s="93">
        <f>R14/Q14</f>
        <v/>
      </c>
      <c r="T14" s="67" t="n">
        <v>400</v>
      </c>
      <c r="U14" s="67" t="n">
        <v>82</v>
      </c>
      <c r="V14" s="93">
        <f>U14/T14</f>
        <v/>
      </c>
      <c r="W14" s="67">
        <f>E14+H14+K14+N14+Q14+T14</f>
        <v/>
      </c>
      <c r="X14" s="67">
        <f>F14+I14+L14+O14+R14+U14</f>
        <v/>
      </c>
      <c r="Y14" s="93">
        <f>X14/W14</f>
        <v/>
      </c>
      <c r="Z14" s="67" t="n">
        <v>0</v>
      </c>
      <c r="AA14" s="67" t="n"/>
      <c r="AB14" s="93">
        <f>AA14/Z14</f>
        <v/>
      </c>
      <c r="AC14" s="67" t="n">
        <v>400</v>
      </c>
      <c r="AD14" s="67" t="n"/>
      <c r="AE14" s="93">
        <f>AD14/AC14</f>
        <v/>
      </c>
      <c r="AF14" s="67" t="n">
        <v>0</v>
      </c>
      <c r="AG14" s="67" t="n"/>
      <c r="AH14" s="93">
        <f>AG14/AF14</f>
        <v/>
      </c>
      <c r="AI14" s="67" t="n">
        <v>400</v>
      </c>
      <c r="AJ14" s="67" t="n"/>
      <c r="AK14" s="93">
        <f>AJ14/AI14</f>
        <v/>
      </c>
      <c r="AL14" s="67" t="n">
        <v>0</v>
      </c>
      <c r="AM14" s="67" t="n"/>
      <c r="AN14" s="93">
        <f>AM14/AL14</f>
        <v/>
      </c>
      <c r="AO14" s="67" t="n">
        <v>400</v>
      </c>
      <c r="AP14" s="67" t="n"/>
      <c r="AQ14" s="93">
        <f>AP14/AO14</f>
        <v/>
      </c>
      <c r="AR14" s="67">
        <f>Z14+AC14+AF14+AI14+AL14+AO14</f>
        <v/>
      </c>
      <c r="AS14" s="67">
        <f>AA14+AD14+AG14+AJ14+AM14+AP14</f>
        <v/>
      </c>
      <c r="AT14" s="93">
        <f>AS14/AR14</f>
        <v/>
      </c>
      <c r="AU14" s="67">
        <f>W14+AR14</f>
        <v/>
      </c>
      <c r="AV14" s="67">
        <f>X14+AS14</f>
        <v/>
      </c>
      <c r="AW14" s="98">
        <f>AV14/AU14</f>
        <v/>
      </c>
      <c r="AX14" s="191" t="n"/>
      <c r="BA14" s="54" t="n"/>
    </row>
    <row r="15" ht="80.25" customHeight="1" s="154">
      <c r="B15" s="198" t="inlineStr">
        <is>
          <t>外食</t>
        </is>
      </c>
      <c r="C15" s="199" t="n"/>
      <c r="D15" s="200" t="n"/>
      <c r="E15" s="74" t="n">
        <v>0</v>
      </c>
      <c r="F15" s="67" t="n"/>
      <c r="G15" s="93">
        <f>F15/E15</f>
        <v/>
      </c>
      <c r="H15" s="71" t="n">
        <v>0</v>
      </c>
      <c r="I15" s="67" t="n">
        <v>0</v>
      </c>
      <c r="J15" s="93">
        <f>I15/H15</f>
        <v/>
      </c>
      <c r="K15" s="67" t="n">
        <v>0</v>
      </c>
      <c r="L15" s="67" t="n"/>
      <c r="M15" s="93">
        <f>L15/K15</f>
        <v/>
      </c>
      <c r="N15" s="67" t="n">
        <v>0</v>
      </c>
      <c r="O15" s="67" t="n"/>
      <c r="P15" s="93">
        <f>O15/N15</f>
        <v/>
      </c>
      <c r="Q15" s="74" t="n">
        <v>0</v>
      </c>
      <c r="R15" s="67" t="n">
        <v>0</v>
      </c>
      <c r="S15" s="93">
        <f>R15/Q15</f>
        <v/>
      </c>
      <c r="T15" s="67" t="n">
        <v>0</v>
      </c>
      <c r="U15" s="67" t="n">
        <v>0</v>
      </c>
      <c r="V15" s="93">
        <f>U15/T15</f>
        <v/>
      </c>
      <c r="W15" s="67">
        <f>E15+H15+K15+N15+Q15+T15</f>
        <v/>
      </c>
      <c r="X15" s="67">
        <f>F15+I15+L15+O15+R15+U15</f>
        <v/>
      </c>
      <c r="Y15" s="93">
        <f>X15/W15</f>
        <v/>
      </c>
      <c r="Z15" s="67" t="n">
        <v>0</v>
      </c>
      <c r="AA15" s="67" t="n"/>
      <c r="AB15" s="93">
        <f>AA15/Z15</f>
        <v/>
      </c>
      <c r="AC15" s="67" t="n">
        <v>0</v>
      </c>
      <c r="AD15" s="67" t="n"/>
      <c r="AE15" s="93">
        <f>AD15/AC15</f>
        <v/>
      </c>
      <c r="AF15" s="67" t="n">
        <v>0</v>
      </c>
      <c r="AG15" s="67" t="n"/>
      <c r="AH15" s="93">
        <f>AG15/AF15</f>
        <v/>
      </c>
      <c r="AI15" s="67" t="n">
        <v>0</v>
      </c>
      <c r="AJ15" s="67" t="n"/>
      <c r="AK15" s="93">
        <f>AJ15/AI15</f>
        <v/>
      </c>
      <c r="AL15" s="67" t="n">
        <v>0</v>
      </c>
      <c r="AM15" s="67" t="n"/>
      <c r="AN15" s="93">
        <f>AM15/AL15</f>
        <v/>
      </c>
      <c r="AO15" s="67" t="n">
        <v>0</v>
      </c>
      <c r="AP15" s="67" t="n"/>
      <c r="AQ15" s="93">
        <f>AP15/AO15</f>
        <v/>
      </c>
      <c r="AR15" s="67">
        <f>Z15+AC15+AF15+AI15+AL15+AO15</f>
        <v/>
      </c>
      <c r="AS15" s="67">
        <f>AA15+AD15+AG15+AJ15+AM15+AP15</f>
        <v/>
      </c>
      <c r="AT15" s="93">
        <f>AS15/AR15</f>
        <v/>
      </c>
      <c r="AU15" s="67">
        <f>W15+AR15</f>
        <v/>
      </c>
      <c r="AV15" s="67">
        <f>X15+AS15</f>
        <v/>
      </c>
      <c r="AW15" s="98">
        <f>AV15/AU15</f>
        <v/>
      </c>
      <c r="BA15" s="54" t="n"/>
    </row>
    <row r="16" ht="80.25" customHeight="1" s="154">
      <c r="B16" s="198" t="inlineStr">
        <is>
          <t>宿泊</t>
        </is>
      </c>
      <c r="C16" s="199" t="n"/>
      <c r="D16" s="200" t="n"/>
      <c r="E16" s="74" t="n">
        <v>0</v>
      </c>
      <c r="F16" s="67" t="n"/>
      <c r="G16" s="93">
        <f>F16/E16</f>
        <v/>
      </c>
      <c r="H16" s="71" t="n">
        <v>0</v>
      </c>
      <c r="I16" s="67" t="n">
        <v>0</v>
      </c>
      <c r="J16" s="93">
        <f>I16/H16</f>
        <v/>
      </c>
      <c r="K16" s="67" t="n">
        <v>0</v>
      </c>
      <c r="L16" s="67" t="n"/>
      <c r="M16" s="93">
        <f>L16/K16</f>
        <v/>
      </c>
      <c r="N16" s="67" t="n">
        <v>0</v>
      </c>
      <c r="O16" s="67" t="n"/>
      <c r="P16" s="93">
        <f>O16/N16</f>
        <v/>
      </c>
      <c r="Q16" s="74" t="n">
        <v>0</v>
      </c>
      <c r="R16" s="67" t="n">
        <v>0</v>
      </c>
      <c r="S16" s="93">
        <f>R16/Q16</f>
        <v/>
      </c>
      <c r="T16" s="67" t="n">
        <v>0</v>
      </c>
      <c r="U16" s="67" t="n">
        <v>0</v>
      </c>
      <c r="V16" s="93">
        <f>U16/T16</f>
        <v/>
      </c>
      <c r="W16" s="67">
        <f>E16+H16+K16+N16+Q16+T16</f>
        <v/>
      </c>
      <c r="X16" s="67">
        <f>F16+I16+L16+O16+R16+U16</f>
        <v/>
      </c>
      <c r="Y16" s="93">
        <f>X16/W16</f>
        <v/>
      </c>
      <c r="Z16" s="67" t="n">
        <v>0</v>
      </c>
      <c r="AA16" s="67" t="n"/>
      <c r="AB16" s="93">
        <f>AA16/Z16</f>
        <v/>
      </c>
      <c r="AC16" s="67" t="n">
        <v>0</v>
      </c>
      <c r="AD16" s="67" t="n"/>
      <c r="AE16" s="93">
        <f>AD16/AC16</f>
        <v/>
      </c>
      <c r="AF16" s="67" t="n">
        <v>0</v>
      </c>
      <c r="AG16" s="67" t="n"/>
      <c r="AH16" s="93">
        <f>AG16/AF16</f>
        <v/>
      </c>
      <c r="AI16" s="67" t="n">
        <v>0</v>
      </c>
      <c r="AJ16" s="67" t="n"/>
      <c r="AK16" s="93">
        <f>AJ16/AI16</f>
        <v/>
      </c>
      <c r="AL16" s="67" t="n">
        <v>0</v>
      </c>
      <c r="AM16" s="67" t="n"/>
      <c r="AN16" s="93">
        <f>AM16/AL16</f>
        <v/>
      </c>
      <c r="AO16" s="67" t="n">
        <v>0</v>
      </c>
      <c r="AP16" s="67" t="n"/>
      <c r="AQ16" s="93">
        <f>AP16/AO16</f>
        <v/>
      </c>
      <c r="AR16" s="67">
        <f>Z16+AC16+AF16+AI16+AL16+AO16</f>
        <v/>
      </c>
      <c r="AS16" s="67">
        <f>AA16+AD16+AG16+AJ16+AM16+AP16</f>
        <v/>
      </c>
      <c r="AT16" s="93">
        <f>AS16/AR16</f>
        <v/>
      </c>
      <c r="AU16" s="67">
        <f>W16+AR16</f>
        <v/>
      </c>
      <c r="AV16" s="67">
        <f>X16+AS16</f>
        <v/>
      </c>
      <c r="AW16" s="98">
        <f>AV16/AU16</f>
        <v/>
      </c>
      <c r="BA16" s="54" t="n"/>
    </row>
    <row r="17" ht="80.25" customHeight="1" s="154">
      <c r="B17" s="224" t="inlineStr">
        <is>
          <t>小計</t>
        </is>
      </c>
      <c r="C17" s="206" t="n"/>
      <c r="D17" s="207" t="n"/>
      <c r="E17" s="81">
        <f>SUM(E14:E16)</f>
        <v/>
      </c>
      <c r="F17" s="83">
        <f>SUM(F14:F16)</f>
        <v/>
      </c>
      <c r="G17" s="93">
        <f>F17/E17</f>
        <v/>
      </c>
      <c r="H17" s="82">
        <f>SUM(H14:H16)</f>
        <v/>
      </c>
      <c r="I17" s="83">
        <f>SUM(I14:I16)</f>
        <v/>
      </c>
      <c r="J17" s="93">
        <f>I17/H17</f>
        <v/>
      </c>
      <c r="K17" s="83">
        <f>SUM(K14:K16)</f>
        <v/>
      </c>
      <c r="L17" s="83">
        <f>SUM(L14:L16)</f>
        <v/>
      </c>
      <c r="M17" s="93">
        <f>L17/K17</f>
        <v/>
      </c>
      <c r="N17" s="83">
        <f>SUM(N14:N16)</f>
        <v/>
      </c>
      <c r="O17" s="83">
        <f>SUM(O14:O16)</f>
        <v/>
      </c>
      <c r="P17" s="93">
        <f>O17/N17</f>
        <v/>
      </c>
      <c r="Q17" s="81">
        <f>SUM(Q14:Q16)</f>
        <v/>
      </c>
      <c r="R17" s="83">
        <f>SUM(R14:R16)</f>
        <v/>
      </c>
      <c r="S17" s="93">
        <f>R17/Q17</f>
        <v/>
      </c>
      <c r="T17" s="83">
        <f>SUM(T14:T16)</f>
        <v/>
      </c>
      <c r="U17" s="83">
        <f>SUM(U14:U16)</f>
        <v/>
      </c>
      <c r="V17" s="93">
        <f>U17/T17</f>
        <v/>
      </c>
      <c r="W17" s="83">
        <f>SUM(W14:W16)</f>
        <v/>
      </c>
      <c r="X17" s="83">
        <f>SUM(X14:X16)</f>
        <v/>
      </c>
      <c r="Y17" s="93">
        <f>X17/W17</f>
        <v/>
      </c>
      <c r="Z17" s="83">
        <f>SUM(Z14:Z16)</f>
        <v/>
      </c>
      <c r="AA17" s="83">
        <f>SUM(AA14:AA16)</f>
        <v/>
      </c>
      <c r="AB17" s="93">
        <f>AA17/Z17</f>
        <v/>
      </c>
      <c r="AC17" s="83">
        <f>SUM(AC14:AC16)</f>
        <v/>
      </c>
      <c r="AD17" s="83">
        <f>SUM(AD14:AD16)</f>
        <v/>
      </c>
      <c r="AE17" s="93">
        <f>AD17/AC17</f>
        <v/>
      </c>
      <c r="AF17" s="83">
        <f>SUM(AF14:AF16)</f>
        <v/>
      </c>
      <c r="AG17" s="83">
        <f>SUM(AG14:AG16)</f>
        <v/>
      </c>
      <c r="AH17" s="93">
        <f>AG17/AF17</f>
        <v/>
      </c>
      <c r="AI17" s="83">
        <f>SUM(AI14:AI16)</f>
        <v/>
      </c>
      <c r="AJ17" s="83">
        <f>SUM(AJ14:AJ16)</f>
        <v/>
      </c>
      <c r="AK17" s="93">
        <f>AJ17/AI17</f>
        <v/>
      </c>
      <c r="AL17" s="83">
        <f>SUM(AL14:AL16)</f>
        <v/>
      </c>
      <c r="AM17" s="83">
        <f>SUM(AM14:AM16)</f>
        <v/>
      </c>
      <c r="AN17" s="93">
        <f>AM17/AL17</f>
        <v/>
      </c>
      <c r="AO17" s="83">
        <f>SUM(AO14:AO16)</f>
        <v/>
      </c>
      <c r="AP17" s="83">
        <f>SUM(AP14:AP16)</f>
        <v/>
      </c>
      <c r="AQ17" s="93">
        <f>AP17/AO17</f>
        <v/>
      </c>
      <c r="AR17" s="83">
        <f>SUM(AR14:AR16)</f>
        <v/>
      </c>
      <c r="AS17" s="83">
        <f>SUM(AS14:AS16)</f>
        <v/>
      </c>
      <c r="AT17" s="93">
        <f>AS17/AR17</f>
        <v/>
      </c>
      <c r="AU17" s="83">
        <f>SUM(AU14:AU16)</f>
        <v/>
      </c>
      <c r="AV17" s="83">
        <f>SUM(AV14:AV16)</f>
        <v/>
      </c>
      <c r="AW17" s="98">
        <f>AV17/AU17</f>
        <v/>
      </c>
      <c r="AX17" s="191" t="n"/>
      <c r="AY17" s="191" t="n"/>
      <c r="BA17" s="54" t="n"/>
    </row>
    <row r="18" ht="80.25" customHeight="1" s="154">
      <c r="B18" s="213" t="inlineStr">
        <is>
          <t>内部紹介</t>
        </is>
      </c>
      <c r="C18" s="202" t="n"/>
      <c r="D18" s="203" t="n"/>
      <c r="E18" s="109" t="inlineStr">
        <is>
          <t>目標</t>
        </is>
      </c>
      <c r="F18" s="110" t="inlineStr">
        <is>
          <t>実績</t>
        </is>
      </c>
      <c r="G18" s="111" t="inlineStr">
        <is>
          <t>達成率</t>
        </is>
      </c>
      <c r="H18" s="112" t="inlineStr">
        <is>
          <t>目標</t>
        </is>
      </c>
      <c r="I18" s="113" t="inlineStr">
        <is>
          <t>実績</t>
        </is>
      </c>
      <c r="J18" s="111" t="inlineStr">
        <is>
          <t>達成率</t>
        </is>
      </c>
      <c r="K18" s="113" t="inlineStr">
        <is>
          <t>目標</t>
        </is>
      </c>
      <c r="L18" s="113" t="inlineStr">
        <is>
          <t>実績</t>
        </is>
      </c>
      <c r="M18" s="111" t="inlineStr">
        <is>
          <t>達成率</t>
        </is>
      </c>
      <c r="N18" s="113" t="inlineStr">
        <is>
          <t>目標</t>
        </is>
      </c>
      <c r="O18" s="113" t="inlineStr">
        <is>
          <t>実績</t>
        </is>
      </c>
      <c r="P18" s="111" t="inlineStr">
        <is>
          <t>達成率</t>
        </is>
      </c>
      <c r="Q18" s="109" t="inlineStr">
        <is>
          <t>目標</t>
        </is>
      </c>
      <c r="R18" s="113" t="inlineStr">
        <is>
          <t>実績</t>
        </is>
      </c>
      <c r="S18" s="111" t="inlineStr">
        <is>
          <t>達成率</t>
        </is>
      </c>
      <c r="T18" s="113" t="inlineStr">
        <is>
          <t>目標</t>
        </is>
      </c>
      <c r="U18" s="113" t="inlineStr">
        <is>
          <t>実績</t>
        </is>
      </c>
      <c r="V18" s="111" t="inlineStr">
        <is>
          <t>達成率</t>
        </is>
      </c>
      <c r="W18" s="113" t="inlineStr">
        <is>
          <t>目標</t>
        </is>
      </c>
      <c r="X18" s="113" t="inlineStr">
        <is>
          <t>実績</t>
        </is>
      </c>
      <c r="Y18" s="111" t="inlineStr">
        <is>
          <t>達成率</t>
        </is>
      </c>
      <c r="Z18" s="113" t="inlineStr">
        <is>
          <t>目標</t>
        </is>
      </c>
      <c r="AA18" s="113" t="inlineStr">
        <is>
          <t>実績</t>
        </is>
      </c>
      <c r="AB18" s="111" t="inlineStr">
        <is>
          <t>達成率</t>
        </is>
      </c>
      <c r="AC18" s="113" t="inlineStr">
        <is>
          <t>目標</t>
        </is>
      </c>
      <c r="AD18" s="113" t="inlineStr">
        <is>
          <t>実績</t>
        </is>
      </c>
      <c r="AE18" s="111" t="inlineStr">
        <is>
          <t>達成率</t>
        </is>
      </c>
      <c r="AF18" s="113" t="inlineStr">
        <is>
          <t>目標</t>
        </is>
      </c>
      <c r="AG18" s="113" t="inlineStr">
        <is>
          <t>実績</t>
        </is>
      </c>
      <c r="AH18" s="111" t="inlineStr">
        <is>
          <t>達成率</t>
        </is>
      </c>
      <c r="AI18" s="113" t="inlineStr">
        <is>
          <t>目標</t>
        </is>
      </c>
      <c r="AJ18" s="113" t="inlineStr">
        <is>
          <t>実績</t>
        </is>
      </c>
      <c r="AK18" s="111" t="inlineStr">
        <is>
          <t>達成率</t>
        </is>
      </c>
      <c r="AL18" s="113" t="inlineStr">
        <is>
          <t>目標</t>
        </is>
      </c>
      <c r="AM18" s="113" t="inlineStr">
        <is>
          <t>実績</t>
        </is>
      </c>
      <c r="AN18" s="111" t="inlineStr">
        <is>
          <t>達成率</t>
        </is>
      </c>
      <c r="AO18" s="113" t="inlineStr">
        <is>
          <t>目標</t>
        </is>
      </c>
      <c r="AP18" s="113" t="inlineStr">
        <is>
          <t>実績</t>
        </is>
      </c>
      <c r="AQ18" s="111" t="inlineStr">
        <is>
          <t>達成率</t>
        </is>
      </c>
      <c r="AR18" s="113" t="inlineStr">
        <is>
          <t>目標</t>
        </is>
      </c>
      <c r="AS18" s="113" t="inlineStr">
        <is>
          <t>実績</t>
        </is>
      </c>
      <c r="AT18" s="111" t="inlineStr">
        <is>
          <t>達成率</t>
        </is>
      </c>
      <c r="AU18" s="113" t="inlineStr">
        <is>
          <t>目標</t>
        </is>
      </c>
      <c r="AV18" s="113" t="inlineStr">
        <is>
          <t>実績</t>
        </is>
      </c>
      <c r="AW18" s="111" t="inlineStr">
        <is>
          <t>達成率</t>
        </is>
      </c>
      <c r="AX18" s="191" t="n"/>
      <c r="AY18" s="191" t="n"/>
      <c r="BA18" s="54" t="n"/>
    </row>
    <row r="19" ht="80.25" customHeight="1" s="154">
      <c r="B19" s="214" t="inlineStr">
        <is>
          <t>技人国　　　　　　　　　　　　　　　　　　　　　N１／３０％　N2／２０％　N3／１５％</t>
        </is>
      </c>
      <c r="C19" s="199" t="n"/>
      <c r="D19" s="200" t="n"/>
      <c r="E19" s="74" t="n"/>
      <c r="F19" s="67" t="n"/>
      <c r="G19" s="93">
        <f>F19/E19</f>
        <v/>
      </c>
      <c r="H19" s="71" t="n"/>
      <c r="I19" s="67" t="n">
        <v>400</v>
      </c>
      <c r="J19" s="93">
        <f>I19/H19</f>
        <v/>
      </c>
      <c r="K19" s="67" t="n"/>
      <c r="L19" s="67" t="n">
        <v>800</v>
      </c>
      <c r="M19" s="93">
        <f>L19/K19</f>
        <v/>
      </c>
      <c r="N19" s="67" t="n"/>
      <c r="O19" s="67" t="n"/>
      <c r="P19" s="93">
        <f>O19/N19</f>
        <v/>
      </c>
      <c r="Q19" s="74" t="n"/>
      <c r="R19" s="67" t="n">
        <v>0</v>
      </c>
      <c r="S19" s="93">
        <f>R19/Q19</f>
        <v/>
      </c>
      <c r="T19" s="67" t="n"/>
      <c r="U19" s="67" t="n">
        <v>0</v>
      </c>
      <c r="V19" s="93">
        <f>U19/T19</f>
        <v/>
      </c>
      <c r="W19" s="67">
        <f>E19+H19+K19+N19+Q19+T19</f>
        <v/>
      </c>
      <c r="X19" s="67">
        <f>F19+I19+L19+O19+R19+U19</f>
        <v/>
      </c>
      <c r="Y19" s="93">
        <f>X19/W19</f>
        <v/>
      </c>
      <c r="Z19" s="67" t="n"/>
      <c r="AA19" s="67" t="n"/>
      <c r="AB19" s="93">
        <f>AA19/Z19</f>
        <v/>
      </c>
      <c r="AC19" s="67" t="n"/>
      <c r="AD19" s="67" t="n"/>
      <c r="AE19" s="93">
        <f>AD19/AC19</f>
        <v/>
      </c>
      <c r="AF19" s="67" t="n"/>
      <c r="AG19" s="67" t="n"/>
      <c r="AH19" s="93">
        <f>AG19/AF19</f>
        <v/>
      </c>
      <c r="AI19" s="67" t="n"/>
      <c r="AJ19" s="67" t="n"/>
      <c r="AK19" s="93">
        <f>AJ19/AI19</f>
        <v/>
      </c>
      <c r="AL19" s="67" t="n"/>
      <c r="AM19" s="67" t="n"/>
      <c r="AN19" s="93">
        <f>AM19/AL19</f>
        <v/>
      </c>
      <c r="AO19" s="67" t="n"/>
      <c r="AP19" s="67" t="n"/>
      <c r="AQ19" s="93">
        <f>AP19/AO19</f>
        <v/>
      </c>
      <c r="AR19" s="67">
        <f>Z19+AC19+AF19+AI19+AL19+AO19</f>
        <v/>
      </c>
      <c r="AS19" s="67">
        <f>AA19+AD19+AG19+AJ19+AM19+AP19</f>
        <v/>
      </c>
      <c r="AT19" s="93">
        <f>AS19/AR19</f>
        <v/>
      </c>
      <c r="AU19" s="67">
        <f>W19+AR19</f>
        <v/>
      </c>
      <c r="AV19" s="67">
        <f>X19+AS19</f>
        <v/>
      </c>
      <c r="AW19" s="98">
        <f>AV19/AU19</f>
        <v/>
      </c>
      <c r="AX19" s="191" t="n"/>
      <c r="AY19" s="191" t="n"/>
      <c r="BA19" s="54" t="n"/>
    </row>
    <row r="20" ht="80.25" customHeight="1" s="154">
      <c r="B20" s="198" t="inlineStr">
        <is>
          <t>特定技能（一律２0万）✕　〇人</t>
        </is>
      </c>
      <c r="C20" s="199" t="n"/>
      <c r="D20" s="200" t="n"/>
      <c r="E20" s="74" t="n">
        <v>3000</v>
      </c>
      <c r="F20" s="67" t="n">
        <v>800</v>
      </c>
      <c r="G20" s="93">
        <f>F20/E20</f>
        <v/>
      </c>
      <c r="H20" s="71" t="n">
        <v>3000</v>
      </c>
      <c r="I20" s="67" t="n">
        <v>2400</v>
      </c>
      <c r="J20" s="93">
        <f>I20/H20</f>
        <v/>
      </c>
      <c r="K20" s="67" t="n">
        <v>3000</v>
      </c>
      <c r="L20" s="67" t="n">
        <v>2400</v>
      </c>
      <c r="M20" s="93">
        <f>L20/K20</f>
        <v/>
      </c>
      <c r="N20" s="67" t="n">
        <v>3000</v>
      </c>
      <c r="O20" s="67" t="n">
        <v>1000</v>
      </c>
      <c r="P20" s="93">
        <f>O20/N20</f>
        <v/>
      </c>
      <c r="Q20" s="74" t="n">
        <v>3000</v>
      </c>
      <c r="R20" s="67" t="n">
        <v>600</v>
      </c>
      <c r="S20" s="93">
        <f>R20/Q20</f>
        <v/>
      </c>
      <c r="T20" s="67" t="n">
        <v>3000</v>
      </c>
      <c r="U20" s="67" t="n">
        <v>1200</v>
      </c>
      <c r="V20" s="93">
        <f>U20/T20</f>
        <v/>
      </c>
      <c r="W20" s="67">
        <f>E20+H20+K20+N20+Q20+T20</f>
        <v/>
      </c>
      <c r="X20" s="67">
        <f>F20+I20+L20+O20+R20+U20</f>
        <v/>
      </c>
      <c r="Y20" s="93">
        <f>X20/W20</f>
        <v/>
      </c>
      <c r="Z20" s="67" t="n">
        <v>3000</v>
      </c>
      <c r="AA20" s="67" t="n"/>
      <c r="AB20" s="93">
        <f>AA20/Z20</f>
        <v/>
      </c>
      <c r="AC20" s="67" t="n">
        <v>3000</v>
      </c>
      <c r="AD20" s="67" t="n"/>
      <c r="AE20" s="93">
        <f>AD20/AC20</f>
        <v/>
      </c>
      <c r="AF20" s="67" t="n">
        <v>3000</v>
      </c>
      <c r="AG20" s="67" t="n"/>
      <c r="AH20" s="93">
        <f>AG20/AF20</f>
        <v/>
      </c>
      <c r="AI20" s="67" t="n">
        <v>3000</v>
      </c>
      <c r="AJ20" s="67" t="n"/>
      <c r="AK20" s="93">
        <f>AJ20/AI20</f>
        <v/>
      </c>
      <c r="AL20" s="67" t="n">
        <v>3000</v>
      </c>
      <c r="AM20" s="67" t="n"/>
      <c r="AN20" s="93">
        <f>AM20/AL20</f>
        <v/>
      </c>
      <c r="AO20" s="67" t="n">
        <v>3000</v>
      </c>
      <c r="AP20" s="67" t="n"/>
      <c r="AQ20" s="93">
        <f>AP20/AO20</f>
        <v/>
      </c>
      <c r="AR20" s="67">
        <f>Z20+AC20+AF20+AI20+AL20+AO20</f>
        <v/>
      </c>
      <c r="AS20" s="67">
        <f>AA20+AD20+AG20+AJ20+AM20+AP20</f>
        <v/>
      </c>
      <c r="AT20" s="93">
        <f>AS20/AR20</f>
        <v/>
      </c>
      <c r="AU20" s="67">
        <f>W20+AR20</f>
        <v/>
      </c>
      <c r="AV20" s="67">
        <f>X20+AS20</f>
        <v/>
      </c>
      <c r="AW20" s="98">
        <f>AV20/AU20</f>
        <v/>
      </c>
      <c r="AX20" s="191" t="n"/>
      <c r="AY20" s="191" t="n"/>
      <c r="BA20" s="54" t="n"/>
    </row>
    <row r="21" ht="80.25" customHeight="1" s="154">
      <c r="B21" s="198" t="inlineStr">
        <is>
          <t>アルバイト(3万円／人）</t>
        </is>
      </c>
      <c r="C21" s="199" t="n"/>
      <c r="D21" s="200" t="n"/>
      <c r="E21" s="74" t="n"/>
      <c r="F21" s="67" t="n">
        <v>720</v>
      </c>
      <c r="G21" s="93">
        <f>F21/E21</f>
        <v/>
      </c>
      <c r="H21" s="71" t="n"/>
      <c r="I21" s="67" t="n">
        <v>390</v>
      </c>
      <c r="J21" s="93">
        <f>I21/H21</f>
        <v/>
      </c>
      <c r="K21" s="67" t="n"/>
      <c r="L21" s="67" t="n">
        <v>450</v>
      </c>
      <c r="M21" s="93">
        <f>L21/K21</f>
        <v/>
      </c>
      <c r="N21" s="67" t="n"/>
      <c r="O21" s="67" t="n">
        <v>210</v>
      </c>
      <c r="P21" s="93">
        <f>O21/N21</f>
        <v/>
      </c>
      <c r="Q21" s="74" t="n"/>
      <c r="R21" s="67" t="n">
        <v>840</v>
      </c>
      <c r="S21" s="93">
        <f>R21/Q21</f>
        <v/>
      </c>
      <c r="T21" s="67" t="n"/>
      <c r="U21" s="67" t="n">
        <v>630</v>
      </c>
      <c r="V21" s="93">
        <f>U21/T21</f>
        <v/>
      </c>
      <c r="W21" s="67">
        <f>E21+H21+K21+N21+Q21+T21</f>
        <v/>
      </c>
      <c r="X21" s="67">
        <f>F21+I21+L21+O21+R21+U21</f>
        <v/>
      </c>
      <c r="Y21" s="93">
        <f>X21/W21</f>
        <v/>
      </c>
      <c r="Z21" s="67" t="n"/>
      <c r="AA21" s="67" t="n"/>
      <c r="AB21" s="93">
        <f>AA21/Z21</f>
        <v/>
      </c>
      <c r="AC21" s="67" t="n"/>
      <c r="AD21" s="67" t="n"/>
      <c r="AE21" s="93">
        <f>AD21/AC21</f>
        <v/>
      </c>
      <c r="AF21" s="67" t="n"/>
      <c r="AG21" s="67" t="n"/>
      <c r="AH21" s="93">
        <f>AG21/AF21</f>
        <v/>
      </c>
      <c r="AI21" s="67" t="n"/>
      <c r="AJ21" s="67" t="n"/>
      <c r="AK21" s="93">
        <f>AJ21/AI21</f>
        <v/>
      </c>
      <c r="AL21" s="67" t="n"/>
      <c r="AM21" s="67" t="n"/>
      <c r="AN21" s="93">
        <f>AM21/AL21</f>
        <v/>
      </c>
      <c r="AO21" s="67" t="n"/>
      <c r="AP21" s="67" t="n"/>
      <c r="AQ21" s="93">
        <f>AP21/AO21</f>
        <v/>
      </c>
      <c r="AR21" s="67">
        <f>Z21+AC21+AF21+AI21+AL21+AO21</f>
        <v/>
      </c>
      <c r="AS21" s="67">
        <f>AA21+AD21+AG21+AJ21+AM21+AP21</f>
        <v/>
      </c>
      <c r="AT21" s="93">
        <f>AS21/AR21</f>
        <v/>
      </c>
      <c r="AU21" s="67">
        <f>W21+AR21</f>
        <v/>
      </c>
      <c r="AV21" s="67">
        <f>X21+AS21</f>
        <v/>
      </c>
      <c r="AW21" s="98">
        <f>AV21/AU21</f>
        <v/>
      </c>
      <c r="AX21" s="191" t="n"/>
      <c r="AY21" s="191" t="n"/>
      <c r="BA21" s="54" t="n"/>
    </row>
    <row r="22" ht="80.25" customHeight="1" s="154">
      <c r="B22" s="215" t="inlineStr">
        <is>
          <t>支援人数(1万円／人）</t>
        </is>
      </c>
      <c r="C22" s="216" t="n"/>
      <c r="D22" s="217" t="n"/>
      <c r="E22" s="74" t="n">
        <v>1500</v>
      </c>
      <c r="F22" s="67" t="n">
        <v>1550</v>
      </c>
      <c r="G22" s="93">
        <f>F22/E22</f>
        <v/>
      </c>
      <c r="H22" s="71" t="n">
        <v>1500</v>
      </c>
      <c r="I22" s="67" t="n">
        <v>1630</v>
      </c>
      <c r="J22" s="93">
        <f>I22/H22</f>
        <v/>
      </c>
      <c r="K22" s="67" t="n">
        <v>1500</v>
      </c>
      <c r="L22" s="67" t="n">
        <v>1760</v>
      </c>
      <c r="M22" s="93">
        <f>L22/K22</f>
        <v/>
      </c>
      <c r="N22" s="67" t="n">
        <v>1500</v>
      </c>
      <c r="O22" s="67" t="n">
        <v>1850</v>
      </c>
      <c r="P22" s="93">
        <f>O22/N22</f>
        <v/>
      </c>
      <c r="Q22" s="74" t="n">
        <v>1500</v>
      </c>
      <c r="R22" s="67" t="n">
        <v>1870</v>
      </c>
      <c r="S22" s="93">
        <f>R22/Q22</f>
        <v/>
      </c>
      <c r="T22" s="67" t="n">
        <v>1500</v>
      </c>
      <c r="U22" s="67" t="n">
        <v>1900</v>
      </c>
      <c r="V22" s="93">
        <f>U22/T22</f>
        <v/>
      </c>
      <c r="W22" s="67">
        <f>E22+H22+K22+N22+Q22+T22</f>
        <v/>
      </c>
      <c r="X22" s="67">
        <f>F22+I22+L22+O22+R22+U22</f>
        <v/>
      </c>
      <c r="Y22" s="93">
        <f>X22/W22</f>
        <v/>
      </c>
      <c r="Z22" s="67" t="n">
        <v>1500</v>
      </c>
      <c r="AA22" s="67" t="n"/>
      <c r="AB22" s="93">
        <f>AA22/Z22</f>
        <v/>
      </c>
      <c r="AC22" s="67" t="n">
        <v>1500</v>
      </c>
      <c r="AD22" s="67" t="n"/>
      <c r="AE22" s="93">
        <f>AD22/AC22</f>
        <v/>
      </c>
      <c r="AF22" s="67" t="n">
        <v>1500</v>
      </c>
      <c r="AG22" s="67" t="n"/>
      <c r="AH22" s="93">
        <f>AG22/AF22</f>
        <v/>
      </c>
      <c r="AI22" s="67" t="n">
        <v>1500</v>
      </c>
      <c r="AJ22" s="67" t="n"/>
      <c r="AK22" s="93">
        <f>AJ22/AI22</f>
        <v/>
      </c>
      <c r="AL22" s="67" t="n">
        <v>1500</v>
      </c>
      <c r="AM22" s="67" t="n"/>
      <c r="AN22" s="93">
        <f>AM22/AL22</f>
        <v/>
      </c>
      <c r="AO22" s="67" t="n">
        <v>1500</v>
      </c>
      <c r="AP22" s="67" t="n"/>
      <c r="AQ22" s="93">
        <f>AP22/AO22</f>
        <v/>
      </c>
      <c r="AR22" s="67">
        <f>Z22+AC22+AF22+AI22+AL22+AO22</f>
        <v/>
      </c>
      <c r="AS22" s="67">
        <f>AA22+AD22+AG22+AJ22+AM22+AP22</f>
        <v/>
      </c>
      <c r="AT22" s="93">
        <f>AS22/AR22</f>
        <v/>
      </c>
      <c r="AU22" s="67">
        <f>W22+AR22</f>
        <v/>
      </c>
      <c r="AV22" s="67">
        <f>X22+AS22</f>
        <v/>
      </c>
      <c r="AW22" s="98">
        <f>AV22/AU22</f>
        <v/>
      </c>
      <c r="AX22" s="191" t="n"/>
      <c r="AY22" s="191" t="n"/>
      <c r="BA22" s="54" t="n"/>
    </row>
    <row r="23" ht="104" customHeight="1" s="154" thickBot="1">
      <c r="B23" s="223" t="inlineStr">
        <is>
          <t>小計</t>
        </is>
      </c>
      <c r="C23" s="187" t="n"/>
      <c r="D23" s="188" t="n"/>
      <c r="E23" s="99">
        <f>SUM(E19:E22)</f>
        <v/>
      </c>
      <c r="F23" s="91">
        <f>SUM(F19:F22)</f>
        <v/>
      </c>
      <c r="G23" s="88">
        <f>F23/E23</f>
        <v/>
      </c>
      <c r="H23" s="82">
        <f>SUM(H19:H22)</f>
        <v/>
      </c>
      <c r="I23" s="83">
        <f>SUM(I19:I22)</f>
        <v/>
      </c>
      <c r="J23" s="88">
        <f>I23/H23</f>
        <v/>
      </c>
      <c r="K23" s="83">
        <f>SUM(K19:K22)</f>
        <v/>
      </c>
      <c r="L23" s="83">
        <f>SUM(L19:L22)</f>
        <v/>
      </c>
      <c r="M23" s="88">
        <f>L23/K23</f>
        <v/>
      </c>
      <c r="N23" s="83">
        <f>SUM(N19:N22)</f>
        <v/>
      </c>
      <c r="O23" s="87">
        <f>SUM(O19:O22)</f>
        <v/>
      </c>
      <c r="P23" s="88">
        <f>O23/N23</f>
        <v/>
      </c>
      <c r="Q23" s="115">
        <f>SUM(Q19:Q22)</f>
        <v/>
      </c>
      <c r="R23" s="116">
        <f>SUM(R19:R22)</f>
        <v/>
      </c>
      <c r="S23" s="117">
        <f>R23/Q23</f>
        <v/>
      </c>
      <c r="T23" s="100">
        <f>SUM(T19:T22)</f>
        <v/>
      </c>
      <c r="U23" s="83">
        <f>SUM(U19:U22)</f>
        <v/>
      </c>
      <c r="V23" s="88">
        <f>U23/T23</f>
        <v/>
      </c>
      <c r="W23" s="82">
        <f>SUM(W19:W22)</f>
        <v/>
      </c>
      <c r="X23" s="83">
        <f>SUM(X19:X22)</f>
        <v/>
      </c>
      <c r="Y23" s="101">
        <f>X23/W23</f>
        <v/>
      </c>
      <c r="Z23" s="83">
        <f>SUM(Z19:Z22)</f>
        <v/>
      </c>
      <c r="AA23" s="83">
        <f>SUM(AA19:AA22)</f>
        <v/>
      </c>
      <c r="AB23" s="88">
        <f>AA23/Z23</f>
        <v/>
      </c>
      <c r="AC23" s="83">
        <f>SUM(AC19:AC22)</f>
        <v/>
      </c>
      <c r="AD23" s="83">
        <f>SUM(AD19:AD22)</f>
        <v/>
      </c>
      <c r="AE23" s="88">
        <f>AD23/AC23</f>
        <v/>
      </c>
      <c r="AF23" s="83">
        <f>SUM(AF19:AF22)</f>
        <v/>
      </c>
      <c r="AG23" s="83">
        <f>SUM(AG19:AG22)</f>
        <v/>
      </c>
      <c r="AH23" s="88">
        <f>AG23/AF23</f>
        <v/>
      </c>
      <c r="AI23" s="83">
        <f>SUM(AI19:AI22)</f>
        <v/>
      </c>
      <c r="AJ23" s="83">
        <f>SUM(AJ19:AJ22)</f>
        <v/>
      </c>
      <c r="AK23" s="88">
        <f>AJ23/AI23</f>
        <v/>
      </c>
      <c r="AL23" s="83">
        <f>SUM(AL19:AL22)</f>
        <v/>
      </c>
      <c r="AM23" s="83">
        <f>SUM(AM19:AM22)</f>
        <v/>
      </c>
      <c r="AN23" s="88">
        <f>AM23/AL23</f>
        <v/>
      </c>
      <c r="AO23" s="83">
        <f>SUM(AO19:AO22)</f>
        <v/>
      </c>
      <c r="AP23" s="83">
        <f>SUM(AP19:AP22)</f>
        <v/>
      </c>
      <c r="AQ23" s="88">
        <f>AP23/AO23</f>
        <v/>
      </c>
      <c r="AR23" s="83">
        <f>SUM(AR19:AR22)</f>
        <v/>
      </c>
      <c r="AS23" s="83">
        <f>SUM(AS19:AS22)</f>
        <v/>
      </c>
      <c r="AT23" s="101">
        <f>AS23/AR23</f>
        <v/>
      </c>
      <c r="AU23" s="83">
        <f>SUM(AU19:AU22)</f>
        <v/>
      </c>
      <c r="AV23" s="83">
        <f>SUM(AV19:AV22)</f>
        <v/>
      </c>
      <c r="AW23" s="102">
        <f>AV23/AU23</f>
        <v/>
      </c>
    </row>
    <row r="24" ht="141.75" customFormat="1" customHeight="1" s="181">
      <c r="A24" s="64" t="n"/>
      <c r="O24" s="80" t="n"/>
      <c r="AU24" s="84" t="n"/>
      <c r="AV24" s="84" t="n"/>
      <c r="AW24" s="84" t="n"/>
    </row>
    <row r="25" ht="80.25" customHeight="1" s="154">
      <c r="B25" s="210" t="n"/>
      <c r="C25" s="210" t="n"/>
      <c r="D25" s="210" t="n"/>
      <c r="E25" s="210" t="n"/>
      <c r="G25" s="210" t="n"/>
      <c r="H25" s="210" t="n"/>
      <c r="I25" s="210" t="n"/>
      <c r="J25" s="210" t="n"/>
      <c r="K25" s="210" t="n"/>
      <c r="L25" s="210" t="n"/>
      <c r="M25" s="210" t="n"/>
      <c r="N25" s="210" t="n"/>
      <c r="O25" s="210" t="n"/>
      <c r="P25" s="210" t="n"/>
      <c r="Q25" s="210" t="n"/>
      <c r="R25" s="210" t="n"/>
      <c r="S25" s="210" t="n"/>
      <c r="T25" s="210" t="n"/>
      <c r="U25" s="210" t="n"/>
      <c r="V25" s="210" t="n"/>
      <c r="W25" s="210" t="n"/>
      <c r="X25" s="210" t="n"/>
      <c r="Y25" s="210" t="n"/>
      <c r="Z25" s="210" t="n"/>
      <c r="AA25" s="210" t="n"/>
      <c r="AB25" s="210" t="n"/>
      <c r="AC25" s="210" t="n"/>
      <c r="AD25" s="210" t="n"/>
      <c r="AE25" s="210" t="n"/>
      <c r="AF25" s="210" t="n"/>
      <c r="AG25" s="210" t="n"/>
      <c r="AH25" s="210" t="n"/>
      <c r="AI25" s="210" t="n"/>
      <c r="AJ25" s="210" t="n"/>
      <c r="AK25" s="210" t="n"/>
      <c r="AL25" s="210" t="n"/>
      <c r="AM25" s="210" t="n"/>
      <c r="AN25" s="210" t="n"/>
      <c r="AO25" s="210" t="n"/>
      <c r="AP25" s="210" t="n"/>
      <c r="AQ25" s="210" t="n"/>
      <c r="AR25" s="210" t="n"/>
      <c r="AS25" s="210" t="n"/>
      <c r="AT25" s="210" t="n"/>
      <c r="AU25" s="210" t="n"/>
      <c r="AV25" s="210" t="n"/>
      <c r="AW25" s="210" t="n"/>
    </row>
    <row r="26" ht="20.25" customFormat="1" customHeight="1" s="192">
      <c r="A26" s="54" t="n"/>
      <c r="B26" s="55" t="n"/>
      <c r="E26" s="191" t="n"/>
      <c r="F26" s="191" t="n"/>
      <c r="G26" s="191" t="n"/>
      <c r="H26" s="191" t="n"/>
      <c r="I26" s="211" t="n"/>
      <c r="J26" s="191" t="n"/>
      <c r="K26" s="211" t="n"/>
      <c r="L26" s="191" t="n"/>
      <c r="M26" s="191" t="n"/>
      <c r="N26" s="191" t="n"/>
      <c r="O26" s="191" t="n"/>
      <c r="P26" s="191" t="n"/>
      <c r="Q26" s="191" t="n"/>
      <c r="R26" s="191" t="n"/>
      <c r="S26" s="191" t="n"/>
      <c r="T26" s="191" t="n"/>
      <c r="U26" s="191" t="n"/>
      <c r="V26" s="191" t="n"/>
      <c r="W26" s="191" t="n"/>
      <c r="X26" s="191" t="n"/>
      <c r="Y26" s="211" t="n"/>
      <c r="Z26" s="191" t="n"/>
      <c r="AA26" s="191" t="n"/>
      <c r="AB26" s="191" t="n"/>
      <c r="AC26" s="191" t="n"/>
      <c r="AD26" s="211" t="n"/>
      <c r="AE26" s="191" t="n"/>
      <c r="AF26" s="211" t="n"/>
      <c r="AG26" s="191" t="n"/>
      <c r="AH26" s="191" t="n"/>
      <c r="AI26" s="191" t="n"/>
      <c r="AJ26" s="191" t="n"/>
      <c r="AK26" s="191" t="n"/>
      <c r="AL26" s="191" t="n"/>
      <c r="AM26" s="191" t="n"/>
      <c r="AN26" s="191" t="n"/>
      <c r="AO26" s="191" t="n"/>
      <c r="AP26" s="191" t="n"/>
      <c r="AQ26" s="191" t="n"/>
      <c r="AR26" s="191" t="n"/>
      <c r="AS26" s="191" t="n"/>
      <c r="AT26" s="211" t="n"/>
      <c r="AU26" s="191" t="n"/>
      <c r="AV26" s="191" t="n"/>
      <c r="AW26" s="66" t="n"/>
      <c r="BB26" s="59" t="n"/>
      <c r="BC26" s="59" t="n"/>
      <c r="BD26" s="59" t="n"/>
      <c r="BE26" s="59" t="n"/>
      <c r="BF26" s="59" t="n"/>
      <c r="BG26" s="59" t="n"/>
    </row>
    <row r="27" ht="20.25" customFormat="1" customHeight="1" s="192">
      <c r="A27" s="54" t="n"/>
      <c r="B27" s="55" t="n"/>
      <c r="E27" s="191" t="n"/>
      <c r="F27" s="191" t="n"/>
      <c r="G27" s="191" t="n"/>
      <c r="H27" s="191" t="n"/>
      <c r="I27" s="211" t="n"/>
      <c r="J27" s="191" t="n"/>
      <c r="K27" s="211" t="n"/>
      <c r="L27" s="191" t="n"/>
      <c r="M27" s="191" t="n"/>
      <c r="N27" s="191" t="n"/>
      <c r="O27" s="191" t="n"/>
      <c r="P27" s="191" t="n"/>
      <c r="Q27" s="191" t="n"/>
      <c r="R27" s="191" t="n"/>
      <c r="S27" s="191" t="n"/>
      <c r="T27" s="191" t="n"/>
      <c r="U27" s="191" t="n"/>
      <c r="V27" s="191" t="n"/>
      <c r="W27" s="191" t="n"/>
      <c r="X27" s="191" t="n"/>
      <c r="Y27" s="211" t="n"/>
      <c r="Z27" s="191" t="n"/>
      <c r="AA27" s="191" t="n"/>
      <c r="AB27" s="191" t="n"/>
      <c r="AC27" s="191" t="n"/>
      <c r="AD27" s="211" t="n"/>
      <c r="AE27" s="191" t="n"/>
      <c r="AF27" s="211" t="n"/>
      <c r="AG27" s="191" t="n"/>
      <c r="AH27" s="191" t="n"/>
      <c r="AI27" s="191" t="n"/>
      <c r="AJ27" s="191" t="n"/>
      <c r="AK27" s="191" t="n"/>
      <c r="AL27" s="191" t="n"/>
      <c r="AM27" s="191" t="n"/>
      <c r="AN27" s="191" t="n"/>
      <c r="AO27" s="191" t="n"/>
      <c r="AP27" s="191" t="n"/>
      <c r="AQ27" s="191" t="n"/>
      <c r="AR27" s="191" t="n"/>
      <c r="AS27" s="191" t="n"/>
      <c r="AT27" s="211" t="n"/>
      <c r="AU27" s="191" t="n"/>
      <c r="AV27" s="191" t="n"/>
      <c r="AW27" s="66" t="n"/>
      <c r="BB27" s="59" t="n"/>
      <c r="BC27" s="59" t="n"/>
      <c r="BD27" s="59" t="n"/>
      <c r="BE27" s="59" t="n"/>
      <c r="BF27" s="59" t="n"/>
      <c r="BG27" s="59" t="n"/>
    </row>
    <row r="28" ht="20.25" customFormat="1" customHeight="1" s="192">
      <c r="A28" s="54" t="n"/>
      <c r="B28" s="55" t="n"/>
      <c r="E28" s="191" t="n"/>
      <c r="F28" s="191" t="n"/>
      <c r="G28" s="191" t="n"/>
      <c r="H28" s="191" t="n"/>
      <c r="I28" s="211" t="n"/>
      <c r="J28" s="191" t="n"/>
      <c r="K28" s="211" t="n"/>
      <c r="L28" s="211" t="n"/>
      <c r="M28" s="191" t="n"/>
      <c r="N28" s="211" t="n"/>
      <c r="O28" s="211" t="n"/>
      <c r="P28" s="191" t="n"/>
      <c r="Q28" s="211" t="n"/>
      <c r="R28" s="211" t="n"/>
      <c r="S28" s="191" t="n"/>
      <c r="T28" s="211" t="n"/>
      <c r="U28" s="211" t="n"/>
      <c r="V28" s="191" t="n"/>
      <c r="W28" s="211" t="n"/>
      <c r="X28" s="211" t="n"/>
      <c r="Y28" s="211" t="n"/>
      <c r="Z28" s="191" t="n"/>
      <c r="AA28" s="191" t="n"/>
      <c r="AB28" s="191" t="n"/>
      <c r="AC28" s="191" t="n"/>
      <c r="AD28" s="211" t="n"/>
      <c r="AE28" s="191" t="n"/>
      <c r="AF28" s="211" t="n"/>
      <c r="AG28" s="211" t="n"/>
      <c r="AH28" s="191" t="n"/>
      <c r="AI28" s="211" t="n"/>
      <c r="AJ28" s="211" t="n"/>
      <c r="AK28" s="191" t="n"/>
      <c r="AL28" s="211" t="n"/>
      <c r="AM28" s="211" t="n"/>
      <c r="AN28" s="191" t="n"/>
      <c r="AO28" s="211" t="n"/>
      <c r="AP28" s="211" t="n"/>
      <c r="AQ28" s="191" t="n"/>
      <c r="AR28" s="211" t="n"/>
      <c r="AS28" s="211" t="n"/>
      <c r="AT28" s="211" t="n"/>
      <c r="AU28" s="211" t="n"/>
      <c r="AV28" s="211" t="n"/>
      <c r="AW28" s="66" t="n"/>
      <c r="BB28" s="59" t="n"/>
      <c r="BC28" s="59" t="n"/>
      <c r="BD28" s="59" t="n"/>
      <c r="BE28" s="59" t="n"/>
      <c r="BF28" s="59" t="n"/>
      <c r="BG28" s="59" t="n"/>
    </row>
    <row r="29" ht="20.25" customFormat="1" customHeight="1" s="192">
      <c r="A29" s="54" t="n"/>
      <c r="B29" s="55" t="n"/>
      <c r="C29" s="56" t="n"/>
      <c r="D29" s="56" t="n"/>
      <c r="E29" s="211" t="n"/>
      <c r="F29" s="211" t="n"/>
      <c r="G29" s="211" t="n"/>
      <c r="H29" s="211" t="n"/>
      <c r="I29" s="211" t="n"/>
      <c r="J29" s="211" t="n"/>
      <c r="K29" s="211" t="n"/>
      <c r="L29" s="211" t="n"/>
      <c r="M29" s="211" t="n"/>
      <c r="N29" s="211" t="n"/>
      <c r="O29" s="211" t="n"/>
      <c r="P29" s="211" t="n"/>
      <c r="Q29" s="211" t="n"/>
      <c r="R29" s="211" t="n"/>
      <c r="S29" s="211" t="n"/>
      <c r="T29" s="211" t="n"/>
      <c r="U29" s="211" t="n"/>
      <c r="V29" s="211" t="n"/>
      <c r="W29" s="211" t="n"/>
      <c r="X29" s="211" t="n"/>
      <c r="Y29" s="211" t="n"/>
      <c r="Z29" s="211" t="n"/>
      <c r="AA29" s="211" t="n"/>
      <c r="AB29" s="211" t="n"/>
      <c r="AC29" s="211" t="n"/>
      <c r="AD29" s="211" t="n"/>
      <c r="AE29" s="211" t="n"/>
      <c r="AF29" s="211" t="n"/>
      <c r="AG29" s="211" t="n"/>
      <c r="AH29" s="211" t="n"/>
      <c r="AI29" s="211" t="n"/>
      <c r="AJ29" s="211" t="n"/>
      <c r="AK29" s="211" t="n"/>
      <c r="AL29" s="211" t="n"/>
      <c r="AM29" s="211" t="n"/>
      <c r="AN29" s="211" t="n"/>
      <c r="AO29" s="211" t="n"/>
      <c r="AP29" s="211" t="n"/>
      <c r="AQ29" s="211" t="n"/>
      <c r="AR29" s="211" t="n"/>
      <c r="AS29" s="211" t="n"/>
      <c r="AT29" s="211" t="n"/>
      <c r="AU29" s="211" t="n"/>
      <c r="AV29" s="211" t="n"/>
      <c r="AW29" s="66" t="n"/>
      <c r="BB29" s="59" t="n"/>
      <c r="BC29" s="59" t="n"/>
      <c r="BD29" s="59" t="n"/>
      <c r="BE29" s="59" t="n"/>
      <c r="BF29" s="59" t="n"/>
      <c r="BG29" s="59" t="n"/>
    </row>
    <row r="30" ht="20.25" customFormat="1" customHeight="1" s="192">
      <c r="A30" s="54" t="n"/>
      <c r="B30" s="55" t="n"/>
      <c r="C30" s="56" t="n"/>
      <c r="D30" s="56" t="n"/>
      <c r="E30" s="211" t="n"/>
      <c r="F30" s="211" t="n"/>
      <c r="G30" s="211" t="n"/>
      <c r="H30" s="211" t="n"/>
      <c r="I30" s="211" t="n"/>
      <c r="J30" s="211" t="n"/>
      <c r="K30" s="211" t="n"/>
      <c r="L30" s="191" t="n"/>
      <c r="M30" s="211" t="n"/>
      <c r="N30" s="211" t="n"/>
      <c r="O30" s="211" t="n"/>
      <c r="P30" s="211" t="n"/>
      <c r="Q30" s="211" t="n"/>
      <c r="R30" s="211" t="n"/>
      <c r="S30" s="211" t="n"/>
      <c r="T30" s="211" t="n"/>
      <c r="U30" s="211" t="n"/>
      <c r="V30" s="211" t="n"/>
      <c r="W30" s="211" t="n"/>
      <c r="X30" s="211" t="n"/>
      <c r="Y30" s="211" t="n"/>
      <c r="Z30" s="211" t="n"/>
      <c r="AA30" s="211" t="n"/>
      <c r="AB30" s="211" t="n"/>
      <c r="AC30" s="211" t="n"/>
      <c r="AD30" s="211" t="n"/>
      <c r="AE30" s="211" t="n"/>
      <c r="AF30" s="211" t="n"/>
      <c r="AG30" s="191" t="n"/>
      <c r="AH30" s="211" t="n"/>
      <c r="AI30" s="211" t="n"/>
      <c r="AJ30" s="211" t="n"/>
      <c r="AK30" s="211" t="n"/>
      <c r="AL30" s="211" t="n"/>
      <c r="AM30" s="211" t="n"/>
      <c r="AN30" s="211" t="n"/>
      <c r="AO30" s="211" t="n"/>
      <c r="AP30" s="211" t="n"/>
      <c r="AQ30" s="211" t="n"/>
      <c r="AR30" s="211" t="n"/>
      <c r="AS30" s="211" t="n"/>
      <c r="AT30" s="211" t="n"/>
      <c r="AU30" s="211" t="n"/>
      <c r="AV30" s="211" t="n"/>
      <c r="AW30" s="66" t="n"/>
      <c r="BB30" s="59" t="n"/>
      <c r="BC30" s="59" t="n"/>
      <c r="BD30" s="59" t="n"/>
      <c r="BE30" s="59" t="n"/>
      <c r="BF30" s="59" t="n"/>
      <c r="BG30" s="59" t="n"/>
    </row>
    <row r="31" ht="20.25" customFormat="1" customHeight="1" s="192">
      <c r="A31" s="54" t="n"/>
      <c r="B31" s="55" t="n"/>
      <c r="C31" s="56" t="n"/>
      <c r="D31" s="56" t="n"/>
      <c r="E31" s="211" t="n"/>
      <c r="F31" s="211" t="n"/>
      <c r="G31" s="211" t="n"/>
      <c r="H31" s="211" t="n"/>
      <c r="I31" s="211" t="n"/>
      <c r="J31" s="211" t="n"/>
      <c r="K31" s="211" t="n"/>
      <c r="L31" s="211" t="n"/>
      <c r="M31" s="211" t="n"/>
      <c r="N31" s="211" t="n"/>
      <c r="O31" s="211" t="n"/>
      <c r="P31" s="211" t="n"/>
      <c r="Q31" s="211" t="n"/>
      <c r="R31" s="211" t="n"/>
      <c r="S31" s="211" t="n"/>
      <c r="T31" s="211" t="n"/>
      <c r="U31" s="211" t="n"/>
      <c r="V31" s="211" t="n"/>
      <c r="W31" s="211" t="n"/>
      <c r="X31" s="211" t="n"/>
      <c r="Y31" s="211" t="n"/>
      <c r="Z31" s="211" t="n"/>
      <c r="AA31" s="211" t="n"/>
      <c r="AB31" s="211" t="n"/>
      <c r="AC31" s="211" t="n"/>
      <c r="AD31" s="211" t="n"/>
      <c r="AE31" s="211" t="n"/>
      <c r="AF31" s="211" t="n"/>
      <c r="AG31" s="211" t="n"/>
      <c r="AH31" s="211" t="n"/>
      <c r="AI31" s="211" t="n"/>
      <c r="AJ31" s="211" t="n"/>
      <c r="AK31" s="211" t="n"/>
      <c r="AL31" s="211" t="n"/>
      <c r="AM31" s="211" t="n"/>
      <c r="AN31" s="211" t="n"/>
      <c r="AO31" s="211" t="n"/>
      <c r="AP31" s="211" t="n"/>
      <c r="AQ31" s="211" t="n"/>
      <c r="AR31" s="211" t="n"/>
      <c r="AS31" s="211" t="n"/>
      <c r="AT31" s="211" t="n"/>
      <c r="AU31" s="211" t="n"/>
      <c r="AV31" s="211" t="n"/>
      <c r="AW31" s="66" t="n"/>
      <c r="BB31" s="59" t="n"/>
      <c r="BC31" s="59" t="n"/>
      <c r="BD31" s="59" t="n"/>
      <c r="BE31" s="59" t="n"/>
      <c r="BF31" s="59" t="n"/>
      <c r="BG31" s="59" t="n"/>
    </row>
    <row r="32" ht="20.25" customFormat="1" customHeight="1" s="192">
      <c r="A32" s="54" t="n"/>
      <c r="B32" s="55" t="n"/>
      <c r="C32" s="56" t="n"/>
      <c r="D32" s="56" t="n"/>
      <c r="E32" s="211" t="n"/>
      <c r="F32" s="211" t="n"/>
      <c r="G32" s="211" t="n"/>
      <c r="H32" s="211" t="n"/>
      <c r="I32" s="211" t="n"/>
      <c r="J32" s="211" t="n"/>
      <c r="K32" s="211" t="n"/>
      <c r="L32" s="211" t="n"/>
      <c r="M32" s="211" t="n"/>
      <c r="N32" s="211" t="n"/>
      <c r="O32" s="211" t="n"/>
      <c r="P32" s="211" t="n"/>
      <c r="Q32" s="211" t="n"/>
      <c r="R32" s="211" t="n"/>
      <c r="S32" s="211" t="n"/>
      <c r="T32" s="211" t="n"/>
      <c r="U32" s="211" t="n"/>
      <c r="V32" s="211" t="n"/>
      <c r="W32" s="211" t="n"/>
      <c r="X32" s="211" t="n"/>
      <c r="Y32" s="211" t="n"/>
      <c r="Z32" s="211" t="n"/>
      <c r="AA32" s="211" t="n"/>
      <c r="AB32" s="211" t="n"/>
      <c r="AC32" s="211" t="n"/>
      <c r="AD32" s="211" t="n"/>
      <c r="AE32" s="211" t="n"/>
      <c r="AF32" s="211" t="n"/>
      <c r="AG32" s="211" t="n"/>
      <c r="AH32" s="211" t="n"/>
      <c r="AI32" s="211" t="n"/>
      <c r="AJ32" s="211" t="n"/>
      <c r="AK32" s="211" t="n"/>
      <c r="AL32" s="211" t="n"/>
      <c r="AM32" s="211" t="n"/>
      <c r="AN32" s="211" t="n"/>
      <c r="AO32" s="211" t="n"/>
      <c r="AP32" s="211" t="n"/>
      <c r="AQ32" s="211" t="n"/>
      <c r="AR32" s="211" t="n"/>
      <c r="AS32" s="211" t="n"/>
      <c r="AT32" s="211" t="n"/>
      <c r="AU32" s="211" t="n"/>
      <c r="AV32" s="211" t="n"/>
      <c r="AW32" s="66" t="n"/>
      <c r="BB32" s="59" t="n"/>
      <c r="BC32" s="59" t="n"/>
      <c r="BD32" s="59" t="n"/>
      <c r="BE32" s="59" t="n"/>
      <c r="BF32" s="59" t="n"/>
      <c r="BG32" s="59" t="n"/>
    </row>
  </sheetData>
  <mergeCells count="44">
    <mergeCell ref="A2:D2"/>
    <mergeCell ref="AY2:AZ2"/>
    <mergeCell ref="B3:D3"/>
    <mergeCell ref="AX3:AY3"/>
    <mergeCell ref="B4:D4"/>
    <mergeCell ref="E4:G4"/>
    <mergeCell ref="H4:J4"/>
    <mergeCell ref="K4:M4"/>
    <mergeCell ref="N4:P4"/>
    <mergeCell ref="Q4:S4"/>
    <mergeCell ref="AX4:AY4"/>
    <mergeCell ref="AF4:AH4"/>
    <mergeCell ref="AI4:AK4"/>
    <mergeCell ref="AL4:AN4"/>
    <mergeCell ref="AO4:AQ4"/>
    <mergeCell ref="AR4:AT4"/>
    <mergeCell ref="AU4:AW4"/>
    <mergeCell ref="B6:D6"/>
    <mergeCell ref="Z4:AB4"/>
    <mergeCell ref="AC4:AE4"/>
    <mergeCell ref="AX8:AX9"/>
    <mergeCell ref="B9:D9"/>
    <mergeCell ref="B7:D7"/>
    <mergeCell ref="B8:D8"/>
    <mergeCell ref="B5:D5"/>
    <mergeCell ref="T4:V4"/>
    <mergeCell ref="W4:Y4"/>
    <mergeCell ref="B11:D11"/>
    <mergeCell ref="B12:D12"/>
    <mergeCell ref="AX12:AY12"/>
    <mergeCell ref="B10:D10"/>
    <mergeCell ref="B13:D13"/>
    <mergeCell ref="B14:D14"/>
    <mergeCell ref="AX14:AX16"/>
    <mergeCell ref="B15:D15"/>
    <mergeCell ref="B16:D16"/>
    <mergeCell ref="B23:D23"/>
    <mergeCell ref="E25:F25"/>
    <mergeCell ref="B17:D17"/>
    <mergeCell ref="B18:D18"/>
    <mergeCell ref="B19:D19"/>
    <mergeCell ref="B20:D20"/>
    <mergeCell ref="B21:D21"/>
    <mergeCell ref="B22:D22"/>
  </mergeCells>
  <printOptions horizontalCentered="1"/>
  <pageMargins left="0.25" right="0.25" top="0.75" bottom="0.75" header="0.3" footer="0.3"/>
  <pageSetup orientation="landscape" paperSize="8" scale="22"/>
  <headerFooter>
    <oddHeader>&amp;R&amp;"HG丸ｺﾞｼｯｸM-PRO,標準"&amp;14 ＳＨＣ</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FF7030A0"/>
    <outlinePr summaryBelow="1" summaryRight="1"/>
    <pageSetUpPr fitToPage="1"/>
  </sheetPr>
  <dimension ref="A1:BG32"/>
  <sheetViews>
    <sheetView showGridLines="0" view="pageBreakPreview" topLeftCell="B1" zoomScale="34" zoomScaleNormal="100" zoomScaleSheetLayoutView="34" zoomScalePageLayoutView="80" workbookViewId="0">
      <pane xSplit="3" ySplit="6" topLeftCell="J7" activePane="bottomRight" state="frozen"/>
      <selection activeCell="B1" sqref="B1"/>
      <selection pane="topRight" activeCell="E1" sqref="E1"/>
      <selection pane="bottomLeft" activeCell="B6" sqref="B6"/>
      <selection pane="bottomRight" activeCell="U23" sqref="U23"/>
    </sheetView>
  </sheetViews>
  <sheetFormatPr baseColWidth="8" defaultColWidth="9" defaultRowHeight="20.25" customHeight="1" outlineLevelRow="1"/>
  <cols>
    <col width="9" customWidth="1" style="54" min="1" max="1"/>
    <col width="20.59765625" customWidth="1" style="55" min="2" max="2"/>
    <col width="20.59765625" customWidth="1" style="56" min="3" max="4"/>
    <col width="18.265625" customWidth="1" style="211" min="5" max="8"/>
    <col width="16.1328125" customWidth="1" style="211" min="9" max="9"/>
    <col width="18.265625" customWidth="1" style="211" min="10" max="22"/>
    <col width="23.33203125" bestFit="1" customWidth="1" style="211" min="23" max="23"/>
    <col width="18.265625" customWidth="1" style="211" min="24" max="43"/>
    <col width="23.33203125" bestFit="1" customWidth="1" style="211" min="44" max="44"/>
    <col width="18.265625" customWidth="1" style="211" min="45" max="46"/>
    <col width="23.33203125" bestFit="1" customWidth="1" style="211" min="47" max="47"/>
    <col width="18.265625" customWidth="1" style="211" min="48" max="48"/>
    <col width="18.265625" customWidth="1" style="66" min="49" max="49"/>
    <col width="10.06640625" customWidth="1" style="192" min="50" max="51"/>
    <col width="12.33203125" customWidth="1" style="192" min="52" max="52"/>
    <col width="2.33203125" customWidth="1" style="192" min="53" max="53"/>
    <col width="9" customWidth="1" style="59" min="54" max="58"/>
    <col width="25.796875" customWidth="1" style="59" min="59" max="59"/>
    <col width="9" customWidth="1" style="59" min="60" max="61"/>
    <col width="9" customWidth="1" style="59" min="62" max="16384"/>
  </cols>
  <sheetData>
    <row r="1" ht="20.25" customHeight="1" s="154">
      <c r="AW1" s="211" t="n"/>
    </row>
    <row r="2" ht="80.25" customFormat="1" customHeight="1" s="181">
      <c r="A2" s="180" t="inlineStr">
        <is>
          <t>2025年通期</t>
        </is>
      </c>
      <c r="E2" s="60" t="n"/>
      <c r="F2" s="60" t="n"/>
      <c r="G2" s="60" t="n"/>
      <c r="H2" s="60" t="n"/>
      <c r="I2" s="60" t="n"/>
      <c r="J2" s="60" t="n"/>
      <c r="K2" s="60" t="n"/>
      <c r="L2" s="60" t="n"/>
      <c r="M2" s="60" t="n"/>
      <c r="N2" s="60" t="n"/>
      <c r="O2" s="60" t="n"/>
      <c r="P2" s="60" t="n"/>
      <c r="Q2" s="60" t="n"/>
      <c r="R2" s="60" t="n"/>
      <c r="S2" s="60" t="n"/>
      <c r="T2" s="60" t="n"/>
      <c r="U2" s="60" t="n"/>
      <c r="V2" s="60" t="n"/>
      <c r="W2" s="60" t="n"/>
      <c r="X2" s="60" t="n"/>
      <c r="Y2" s="60" t="n"/>
      <c r="Z2" s="60" t="n"/>
      <c r="AA2" s="60" t="n"/>
      <c r="AB2" s="60" t="n"/>
      <c r="AC2" s="60" t="n"/>
      <c r="AD2" s="60" t="n"/>
      <c r="AE2" s="60" t="n"/>
      <c r="AF2" s="60" t="n"/>
      <c r="AG2" s="60" t="n"/>
      <c r="AH2" s="60" t="n"/>
      <c r="AI2" s="60" t="n"/>
      <c r="AJ2" s="60" t="n"/>
      <c r="AK2" s="60" t="n"/>
      <c r="AL2" s="60" t="n"/>
      <c r="AM2" s="60" t="n"/>
      <c r="AN2" s="60" t="n"/>
      <c r="AO2" s="60" t="n"/>
      <c r="AP2" s="60" t="n"/>
      <c r="AQ2" s="60" t="n"/>
      <c r="AR2" s="60" t="n"/>
      <c r="AS2" s="60" t="n"/>
      <c r="AT2" s="60" t="n"/>
      <c r="AU2" s="60" t="n"/>
      <c r="AV2" s="60" t="n"/>
      <c r="AW2" s="60" t="n"/>
      <c r="AX2" s="61" t="n"/>
      <c r="AY2" s="182" t="n"/>
      <c r="BA2" s="62" t="n"/>
    </row>
    <row r="3" ht="80.25" customFormat="1" customHeight="1" s="181" thickBot="1">
      <c r="A3" s="64" t="n"/>
      <c r="B3" s="183" t="inlineStr">
        <is>
          <t>紹介状況・目標</t>
        </is>
      </c>
      <c r="C3" s="184" t="n"/>
      <c r="D3" s="184" t="n"/>
      <c r="E3" s="60" t="n"/>
      <c r="F3" s="60" t="n"/>
      <c r="G3" s="60" t="n"/>
      <c r="H3" s="60" t="n"/>
      <c r="I3" s="60" t="n"/>
      <c r="J3" s="60" t="n"/>
      <c r="K3" s="60" t="n"/>
      <c r="L3" s="60" t="n"/>
      <c r="M3" s="60" t="n"/>
      <c r="N3" s="60" t="n"/>
      <c r="O3" s="60" t="n"/>
      <c r="P3" s="60" t="n"/>
      <c r="Q3" s="60" t="n"/>
      <c r="R3" s="60" t="n"/>
      <c r="S3" s="60" t="n"/>
      <c r="T3" s="60" t="n"/>
      <c r="U3" s="60" t="n"/>
      <c r="V3" s="60" t="n"/>
      <c r="W3" s="60" t="n"/>
      <c r="X3" s="60" t="n"/>
      <c r="Y3" s="60" t="n"/>
      <c r="Z3" s="60" t="n"/>
      <c r="AA3" s="60" t="n"/>
      <c r="AB3" s="60" t="n"/>
      <c r="AC3" s="60" t="n"/>
      <c r="AD3" s="60" t="n"/>
      <c r="AE3" s="60" t="n"/>
      <c r="AF3" s="60" t="n"/>
      <c r="AG3" s="60" t="n"/>
      <c r="AH3" s="60" t="n"/>
      <c r="AI3" s="60" t="n"/>
      <c r="AJ3" s="60" t="n"/>
      <c r="AK3" s="60" t="n"/>
      <c r="AL3" s="60" t="n"/>
      <c r="AM3" s="60" t="n"/>
      <c r="AN3" s="60" t="n"/>
      <c r="AO3" s="60" t="n"/>
      <c r="AP3" s="60" t="n"/>
      <c r="AQ3" s="60" t="n"/>
      <c r="AR3" s="60" t="n"/>
      <c r="AS3" s="60" t="n"/>
      <c r="AT3" s="60" t="n"/>
      <c r="AU3" s="60" t="n"/>
      <c r="AV3" s="60" t="n"/>
      <c r="AW3" s="60" t="inlineStr">
        <is>
          <t>単位(千円）</t>
        </is>
      </c>
      <c r="AX3" s="185" t="n"/>
    </row>
    <row r="4" ht="76.05" customHeight="1" s="154">
      <c r="B4" s="186" t="n"/>
      <c r="C4" s="187" t="n"/>
      <c r="D4" s="188" t="n"/>
      <c r="E4" s="189" t="inlineStr">
        <is>
          <t>４月</t>
        </is>
      </c>
      <c r="F4" s="187" t="n"/>
      <c r="G4" s="190" t="n"/>
      <c r="H4" s="189" t="inlineStr">
        <is>
          <t>5月</t>
        </is>
      </c>
      <c r="I4" s="187" t="n"/>
      <c r="J4" s="190" t="n"/>
      <c r="K4" s="189" t="inlineStr">
        <is>
          <t>6月</t>
        </is>
      </c>
      <c r="L4" s="187" t="n"/>
      <c r="M4" s="190" t="n"/>
      <c r="N4" s="189" t="inlineStr">
        <is>
          <t>7月</t>
        </is>
      </c>
      <c r="O4" s="187" t="n"/>
      <c r="P4" s="190" t="n"/>
      <c r="Q4" s="195" t="inlineStr">
        <is>
          <t>8月</t>
        </is>
      </c>
      <c r="R4" s="196" t="n"/>
      <c r="S4" s="197" t="n"/>
      <c r="T4" s="189" t="inlineStr">
        <is>
          <t>9月</t>
        </is>
      </c>
      <c r="U4" s="187" t="n"/>
      <c r="V4" s="190" t="n"/>
      <c r="W4" s="193" t="inlineStr">
        <is>
          <t xml:space="preserve">上期 </t>
        </is>
      </c>
      <c r="X4" s="187" t="n"/>
      <c r="Y4" s="190" t="n"/>
      <c r="Z4" s="189" t="inlineStr">
        <is>
          <t>10月</t>
        </is>
      </c>
      <c r="AA4" s="187" t="n"/>
      <c r="AB4" s="190" t="n"/>
      <c r="AC4" s="189" t="inlineStr">
        <is>
          <t>11月</t>
        </is>
      </c>
      <c r="AD4" s="187" t="n"/>
      <c r="AE4" s="190" t="n"/>
      <c r="AF4" s="189" t="inlineStr">
        <is>
          <t>12月</t>
        </is>
      </c>
      <c r="AG4" s="187" t="n"/>
      <c r="AH4" s="190" t="n"/>
      <c r="AI4" s="189" t="inlineStr">
        <is>
          <t>1月</t>
        </is>
      </c>
      <c r="AJ4" s="187" t="n"/>
      <c r="AK4" s="190" t="n"/>
      <c r="AL4" s="189" t="inlineStr">
        <is>
          <t>2月</t>
        </is>
      </c>
      <c r="AM4" s="187" t="n"/>
      <c r="AN4" s="190" t="n"/>
      <c r="AO4" s="189" t="inlineStr">
        <is>
          <t>3月</t>
        </is>
      </c>
      <c r="AP4" s="187" t="n"/>
      <c r="AQ4" s="190" t="n"/>
      <c r="AR4" s="193" t="inlineStr">
        <is>
          <t>下期</t>
        </is>
      </c>
      <c r="AS4" s="187" t="n"/>
      <c r="AT4" s="190" t="n"/>
      <c r="AU4" s="219" t="inlineStr">
        <is>
          <t>総合計</t>
        </is>
      </c>
      <c r="AV4" s="187" t="n"/>
      <c r="AW4" s="190" t="n"/>
      <c r="AX4" s="191" t="n"/>
      <c r="AZ4" s="191" t="n"/>
      <c r="BA4" s="191" t="n"/>
    </row>
    <row r="5" ht="88.5" customHeight="1" s="154">
      <c r="B5" s="204" t="n"/>
      <c r="C5" s="187" t="n"/>
      <c r="D5" s="190" t="n"/>
      <c r="E5" s="94" t="inlineStr">
        <is>
          <t>目標</t>
        </is>
      </c>
      <c r="F5" s="95" t="inlineStr">
        <is>
          <t>実績</t>
        </is>
      </c>
      <c r="G5" s="96" t="inlineStr">
        <is>
          <t>達成率</t>
        </is>
      </c>
      <c r="H5" s="94" t="inlineStr">
        <is>
          <t>目標</t>
        </is>
      </c>
      <c r="I5" s="95" t="inlineStr">
        <is>
          <t>実績</t>
        </is>
      </c>
      <c r="J5" s="96" t="inlineStr">
        <is>
          <t>達成率</t>
        </is>
      </c>
      <c r="K5" s="94" t="inlineStr">
        <is>
          <t>目標</t>
        </is>
      </c>
      <c r="L5" s="95" t="inlineStr">
        <is>
          <t>実績</t>
        </is>
      </c>
      <c r="M5" s="96" t="inlineStr">
        <is>
          <t>達成率</t>
        </is>
      </c>
      <c r="N5" s="94" t="inlineStr">
        <is>
          <t>目標</t>
        </is>
      </c>
      <c r="O5" s="95" t="inlineStr">
        <is>
          <t>実績</t>
        </is>
      </c>
      <c r="P5" s="96" t="inlineStr">
        <is>
          <t>達成率</t>
        </is>
      </c>
      <c r="Q5" s="94" t="inlineStr">
        <is>
          <t>目標</t>
        </is>
      </c>
      <c r="R5" s="95" t="inlineStr">
        <is>
          <t>実績</t>
        </is>
      </c>
      <c r="S5" s="96" t="inlineStr">
        <is>
          <t>達成率</t>
        </is>
      </c>
      <c r="T5" s="94" t="inlineStr">
        <is>
          <t>目標</t>
        </is>
      </c>
      <c r="U5" s="95" t="inlineStr">
        <is>
          <t>実績</t>
        </is>
      </c>
      <c r="V5" s="96" t="inlineStr">
        <is>
          <t>達成率</t>
        </is>
      </c>
      <c r="W5" s="94" t="inlineStr">
        <is>
          <t>目標</t>
        </is>
      </c>
      <c r="X5" s="95" t="inlineStr">
        <is>
          <t>実績</t>
        </is>
      </c>
      <c r="Y5" s="96" t="inlineStr">
        <is>
          <t>達成率</t>
        </is>
      </c>
      <c r="Z5" s="94" t="inlineStr">
        <is>
          <t>目標</t>
        </is>
      </c>
      <c r="AA5" s="95" t="inlineStr">
        <is>
          <t>実績</t>
        </is>
      </c>
      <c r="AB5" s="96" t="inlineStr">
        <is>
          <t>達成率</t>
        </is>
      </c>
      <c r="AC5" s="94" t="inlineStr">
        <is>
          <t>目標</t>
        </is>
      </c>
      <c r="AD5" s="95" t="inlineStr">
        <is>
          <t>実績</t>
        </is>
      </c>
      <c r="AE5" s="96" t="inlineStr">
        <is>
          <t>達成率</t>
        </is>
      </c>
      <c r="AF5" s="94" t="inlineStr">
        <is>
          <t>目標</t>
        </is>
      </c>
      <c r="AG5" s="95" t="inlineStr">
        <is>
          <t>実績</t>
        </is>
      </c>
      <c r="AH5" s="96" t="inlineStr">
        <is>
          <t>達成率</t>
        </is>
      </c>
      <c r="AI5" s="94" t="inlineStr">
        <is>
          <t>目標</t>
        </is>
      </c>
      <c r="AJ5" s="95" t="inlineStr">
        <is>
          <t>実績</t>
        </is>
      </c>
      <c r="AK5" s="96" t="inlineStr">
        <is>
          <t>達成率</t>
        </is>
      </c>
      <c r="AL5" s="94" t="inlineStr">
        <is>
          <t>目標</t>
        </is>
      </c>
      <c r="AM5" s="95" t="inlineStr">
        <is>
          <t>実績</t>
        </is>
      </c>
      <c r="AN5" s="96" t="inlineStr">
        <is>
          <t>達成率</t>
        </is>
      </c>
      <c r="AO5" s="94" t="inlineStr">
        <is>
          <t>目標</t>
        </is>
      </c>
      <c r="AP5" s="95" t="inlineStr">
        <is>
          <t>実績</t>
        </is>
      </c>
      <c r="AQ5" s="96" t="inlineStr">
        <is>
          <t>達成率</t>
        </is>
      </c>
      <c r="AR5" s="94" t="inlineStr">
        <is>
          <t>目標</t>
        </is>
      </c>
      <c r="AS5" s="95" t="inlineStr">
        <is>
          <t>実績</t>
        </is>
      </c>
      <c r="AT5" s="96" t="inlineStr">
        <is>
          <t>達成率</t>
        </is>
      </c>
      <c r="AU5" s="94" t="inlineStr">
        <is>
          <t>目標</t>
        </is>
      </c>
      <c r="AV5" s="95" t="inlineStr">
        <is>
          <t>実績</t>
        </is>
      </c>
      <c r="AW5" s="96" t="inlineStr">
        <is>
          <t>達成率</t>
        </is>
      </c>
      <c r="AX5" s="191" t="n"/>
      <c r="AY5" s="191" t="n"/>
      <c r="AZ5" s="191" t="n"/>
      <c r="BA5" s="191" t="n"/>
    </row>
    <row r="6" ht="99" customHeight="1" s="154">
      <c r="B6" s="220" t="inlineStr">
        <is>
          <t>総合計</t>
        </is>
      </c>
      <c r="C6" s="187" t="n"/>
      <c r="D6" s="188" t="n"/>
      <c r="E6" s="89">
        <f>E12+E17+E23</f>
        <v/>
      </c>
      <c r="F6" s="90">
        <f>F12+F17+F23</f>
        <v/>
      </c>
      <c r="G6" s="85">
        <f>F6/E6</f>
        <v/>
      </c>
      <c r="H6" s="79">
        <f>H12+H17+H23</f>
        <v/>
      </c>
      <c r="I6" s="78">
        <f>I12+I17+I23</f>
        <v/>
      </c>
      <c r="J6" s="85">
        <f>I6/H6</f>
        <v/>
      </c>
      <c r="K6" s="78">
        <f>K12+K17+K23</f>
        <v/>
      </c>
      <c r="L6" s="78">
        <f>L12+L17+L23</f>
        <v/>
      </c>
      <c r="M6" s="85">
        <f>L6/K6</f>
        <v/>
      </c>
      <c r="N6" s="78">
        <f>N12+N17+N23</f>
        <v/>
      </c>
      <c r="O6" s="78">
        <f>O12+O17+O23</f>
        <v/>
      </c>
      <c r="P6" s="85">
        <f>O6/N6</f>
        <v/>
      </c>
      <c r="Q6" s="114">
        <f>Q12+Q17+Q23</f>
        <v/>
      </c>
      <c r="R6" s="78">
        <f>R12+R17+R23</f>
        <v/>
      </c>
      <c r="S6" s="85">
        <f>R6/Q6</f>
        <v/>
      </c>
      <c r="T6" s="78">
        <f>T12+T17+T23</f>
        <v/>
      </c>
      <c r="U6" s="78">
        <f>U12+U17+U23</f>
        <v/>
      </c>
      <c r="V6" s="85">
        <f>U6/T6</f>
        <v/>
      </c>
      <c r="W6" s="78">
        <f>W12+W17+W23</f>
        <v/>
      </c>
      <c r="X6" s="78">
        <f>X12+X17+X23</f>
        <v/>
      </c>
      <c r="Y6" s="85">
        <f>X6/W6</f>
        <v/>
      </c>
      <c r="Z6" s="78">
        <f>Z12+Z17+Z23</f>
        <v/>
      </c>
      <c r="AA6" s="78">
        <f>AA12+AA17+AA23</f>
        <v/>
      </c>
      <c r="AB6" s="85">
        <f>AA6/Z6</f>
        <v/>
      </c>
      <c r="AC6" s="78">
        <f>AC12+AC17+AC23</f>
        <v/>
      </c>
      <c r="AD6" s="78">
        <f>AD12+AD17+AD23</f>
        <v/>
      </c>
      <c r="AE6" s="85">
        <f>AD6/AC6</f>
        <v/>
      </c>
      <c r="AF6" s="78">
        <f>AF12+AF17+AF23</f>
        <v/>
      </c>
      <c r="AG6" s="78">
        <f>AG12+AG17+AG23</f>
        <v/>
      </c>
      <c r="AH6" s="85">
        <f>AG6/AF6</f>
        <v/>
      </c>
      <c r="AI6" s="78">
        <f>AI12+AI17+AI23</f>
        <v/>
      </c>
      <c r="AJ6" s="78">
        <f>AJ12+AJ17+AJ23</f>
        <v/>
      </c>
      <c r="AK6" s="85">
        <f>AJ6/AI6</f>
        <v/>
      </c>
      <c r="AL6" s="78">
        <f>AL12+AL17+AL23</f>
        <v/>
      </c>
      <c r="AM6" s="78">
        <f>AM12+AM17+AM23</f>
        <v/>
      </c>
      <c r="AN6" s="85">
        <f>AM6/AL6</f>
        <v/>
      </c>
      <c r="AO6" s="78">
        <f>AO12+AO17+AO23</f>
        <v/>
      </c>
      <c r="AP6" s="78">
        <f>AP12+AP17+AP23</f>
        <v/>
      </c>
      <c r="AQ6" s="85">
        <f>AP6/AO6</f>
        <v/>
      </c>
      <c r="AR6" s="78">
        <f>AR12+AR17+AR23</f>
        <v/>
      </c>
      <c r="AS6" s="78">
        <f>AS12+AS17+AS23</f>
        <v/>
      </c>
      <c r="AT6" s="85">
        <f>AS6/AR6</f>
        <v/>
      </c>
      <c r="AU6" s="78">
        <f>AU12+AU17+AU23</f>
        <v/>
      </c>
      <c r="AV6" s="78">
        <f>AV12+AV17+AV23</f>
        <v/>
      </c>
      <c r="AW6" s="97">
        <f>AV6/AU6</f>
        <v/>
      </c>
      <c r="AX6" s="191" t="n"/>
      <c r="AY6" s="191" t="n"/>
      <c r="AZ6" s="191" t="n"/>
      <c r="BA6" s="191" t="n"/>
    </row>
    <row r="7" ht="80.25" customHeight="1" s="154">
      <c r="B7" s="208" t="inlineStr">
        <is>
          <t>外部紹介</t>
        </is>
      </c>
      <c r="C7" s="202" t="n"/>
      <c r="D7" s="203" t="n"/>
      <c r="E7" s="76" t="inlineStr">
        <is>
          <t>目標</t>
        </is>
      </c>
      <c r="F7" s="92" t="inlineStr">
        <is>
          <t>実績</t>
        </is>
      </c>
      <c r="G7" s="108" t="inlineStr">
        <is>
          <t>達成率</t>
        </is>
      </c>
      <c r="H7" s="73" t="inlineStr">
        <is>
          <t>目標</t>
        </is>
      </c>
      <c r="I7" s="68" t="inlineStr">
        <is>
          <t>実績</t>
        </is>
      </c>
      <c r="J7" s="108" t="inlineStr">
        <is>
          <t>達成率</t>
        </is>
      </c>
      <c r="K7" s="68" t="inlineStr">
        <is>
          <t>目標</t>
        </is>
      </c>
      <c r="L7" s="68" t="inlineStr">
        <is>
          <t>実績</t>
        </is>
      </c>
      <c r="M7" s="108" t="inlineStr">
        <is>
          <t>達成率</t>
        </is>
      </c>
      <c r="N7" s="68" t="inlineStr">
        <is>
          <t>目標</t>
        </is>
      </c>
      <c r="O7" s="68" t="inlineStr">
        <is>
          <t>実績</t>
        </is>
      </c>
      <c r="P7" s="108" t="inlineStr">
        <is>
          <t>達成率</t>
        </is>
      </c>
      <c r="Q7" s="76" t="inlineStr">
        <is>
          <t>目標</t>
        </is>
      </c>
      <c r="R7" s="68" t="inlineStr">
        <is>
          <t>実績</t>
        </is>
      </c>
      <c r="S7" s="108" t="inlineStr">
        <is>
          <t>達成率</t>
        </is>
      </c>
      <c r="T7" s="68" t="inlineStr">
        <is>
          <t>目標</t>
        </is>
      </c>
      <c r="U7" s="68" t="inlineStr">
        <is>
          <t>実績</t>
        </is>
      </c>
      <c r="V7" s="108" t="inlineStr">
        <is>
          <t>達成率</t>
        </is>
      </c>
      <c r="W7" s="68" t="inlineStr">
        <is>
          <t>目標</t>
        </is>
      </c>
      <c r="X7" s="68" t="inlineStr">
        <is>
          <t>実績</t>
        </is>
      </c>
      <c r="Y7" s="108" t="inlineStr">
        <is>
          <t>達成率</t>
        </is>
      </c>
      <c r="Z7" s="68" t="inlineStr">
        <is>
          <t>目標</t>
        </is>
      </c>
      <c r="AA7" s="68" t="inlineStr">
        <is>
          <t>実績</t>
        </is>
      </c>
      <c r="AB7" s="108" t="inlineStr">
        <is>
          <t>達成率</t>
        </is>
      </c>
      <c r="AC7" s="68" t="inlineStr">
        <is>
          <t>目標</t>
        </is>
      </c>
      <c r="AD7" s="68" t="inlineStr">
        <is>
          <t>実績</t>
        </is>
      </c>
      <c r="AE7" s="108" t="inlineStr">
        <is>
          <t>達成率</t>
        </is>
      </c>
      <c r="AF7" s="68" t="inlineStr">
        <is>
          <t>目標</t>
        </is>
      </c>
      <c r="AG7" s="68" t="inlineStr">
        <is>
          <t>実績</t>
        </is>
      </c>
      <c r="AH7" s="108" t="inlineStr">
        <is>
          <t>達成率</t>
        </is>
      </c>
      <c r="AI7" s="68" t="inlineStr">
        <is>
          <t>目標</t>
        </is>
      </c>
      <c r="AJ7" s="68" t="inlineStr">
        <is>
          <t>実績</t>
        </is>
      </c>
      <c r="AK7" s="108" t="inlineStr">
        <is>
          <t>達成率</t>
        </is>
      </c>
      <c r="AL7" s="68" t="inlineStr">
        <is>
          <t>目標</t>
        </is>
      </c>
      <c r="AM7" s="68" t="inlineStr">
        <is>
          <t>実績</t>
        </is>
      </c>
      <c r="AN7" s="108" t="inlineStr">
        <is>
          <t>達成率</t>
        </is>
      </c>
      <c r="AO7" s="68" t="inlineStr">
        <is>
          <t>目標</t>
        </is>
      </c>
      <c r="AP7" s="68" t="inlineStr">
        <is>
          <t>実績</t>
        </is>
      </c>
      <c r="AQ7" s="108" t="inlineStr">
        <is>
          <t>達成率</t>
        </is>
      </c>
      <c r="AR7" s="68" t="inlineStr">
        <is>
          <t>目標</t>
        </is>
      </c>
      <c r="AS7" s="68" t="inlineStr">
        <is>
          <t>実績</t>
        </is>
      </c>
      <c r="AT7" s="108" t="inlineStr">
        <is>
          <t>達成率</t>
        </is>
      </c>
      <c r="AU7" s="68" t="inlineStr">
        <is>
          <t>目標</t>
        </is>
      </c>
      <c r="AV7" s="68" t="inlineStr">
        <is>
          <t>実績</t>
        </is>
      </c>
      <c r="AW7" s="108" t="inlineStr">
        <is>
          <t>達成率</t>
        </is>
      </c>
      <c r="AX7" s="191" t="n"/>
      <c r="AY7" s="191" t="n"/>
      <c r="BA7" s="54" t="n"/>
    </row>
    <row r="8" ht="80.25" customHeight="1" s="154">
      <c r="B8" s="198" t="inlineStr">
        <is>
          <t>技人国</t>
        </is>
      </c>
      <c r="C8" s="199" t="n"/>
      <c r="D8" s="200" t="n"/>
      <c r="E8" s="74" t="n">
        <v>900</v>
      </c>
      <c r="F8" s="86" t="n">
        <v>400</v>
      </c>
      <c r="G8" s="93">
        <f>F8/E8</f>
        <v/>
      </c>
      <c r="H8" s="71" t="n">
        <v>900</v>
      </c>
      <c r="I8" s="67" t="n">
        <v>0</v>
      </c>
      <c r="J8" s="93">
        <f>I8/H8</f>
        <v/>
      </c>
      <c r="K8" s="67" t="n">
        <v>900</v>
      </c>
      <c r="L8" s="67" t="n">
        <v>0</v>
      </c>
      <c r="M8" s="93">
        <f>L8/K8</f>
        <v/>
      </c>
      <c r="N8" s="67" t="n">
        <v>900</v>
      </c>
      <c r="O8" s="67" t="n">
        <v>0</v>
      </c>
      <c r="P8" s="93">
        <f>O8/N8</f>
        <v/>
      </c>
      <c r="Q8" s="74" t="n">
        <v>900</v>
      </c>
      <c r="R8" s="67" t="n">
        <v>414</v>
      </c>
      <c r="S8" s="93">
        <f>R8/Q8</f>
        <v/>
      </c>
      <c r="T8" s="67" t="n">
        <v>900</v>
      </c>
      <c r="U8" s="67" t="n">
        <v>0</v>
      </c>
      <c r="V8" s="93">
        <f>U8/T8</f>
        <v/>
      </c>
      <c r="W8" s="67">
        <f>E8+H8+K8+N8+Q8+T8</f>
        <v/>
      </c>
      <c r="X8" s="67">
        <f>F8+I8+L8+O8+R8+U8</f>
        <v/>
      </c>
      <c r="Y8" s="93">
        <f>X8/W8</f>
        <v/>
      </c>
      <c r="Z8" s="67" t="n">
        <v>900</v>
      </c>
      <c r="AA8" s="67" t="n"/>
      <c r="AB8" s="93">
        <f>AA8/Z8</f>
        <v/>
      </c>
      <c r="AC8" s="67" t="n">
        <v>900</v>
      </c>
      <c r="AD8" s="67" t="n"/>
      <c r="AE8" s="93">
        <f>AD8/AC8</f>
        <v/>
      </c>
      <c r="AF8" s="67" t="n">
        <v>900</v>
      </c>
      <c r="AG8" s="67" t="n"/>
      <c r="AH8" s="93">
        <f>AG8/AF8</f>
        <v/>
      </c>
      <c r="AI8" s="67" t="n">
        <v>900</v>
      </c>
      <c r="AJ8" s="67" t="n"/>
      <c r="AK8" s="93">
        <f>AJ8/AI8</f>
        <v/>
      </c>
      <c r="AL8" s="67" t="n">
        <v>900</v>
      </c>
      <c r="AM8" s="67" t="n"/>
      <c r="AN8" s="93">
        <f>AM8/AL8</f>
        <v/>
      </c>
      <c r="AO8" s="67" t="n">
        <v>900</v>
      </c>
      <c r="AP8" s="67" t="n"/>
      <c r="AQ8" s="93">
        <f>AP8/AO8</f>
        <v/>
      </c>
      <c r="AR8" s="67">
        <f>SUM(Z8:AP8)</f>
        <v/>
      </c>
      <c r="AS8" s="67">
        <f>AA8+AD8+AG8+AJ8+AM8+AP8</f>
        <v/>
      </c>
      <c r="AT8" s="93">
        <f>AS8/AR8</f>
        <v/>
      </c>
      <c r="AU8" s="67">
        <f>W8+AR8</f>
        <v/>
      </c>
      <c r="AV8" s="67">
        <f>X8+AS8</f>
        <v/>
      </c>
      <c r="AW8" s="98">
        <f>AV8/AU8</f>
        <v/>
      </c>
      <c r="AX8" s="191" t="n"/>
      <c r="BA8" s="54" t="n"/>
    </row>
    <row r="9" ht="80.25" customHeight="1" s="154">
      <c r="B9" s="198" t="inlineStr">
        <is>
          <t>特定技能</t>
        </is>
      </c>
      <c r="C9" s="199" t="n"/>
      <c r="D9" s="200" t="n"/>
      <c r="E9" s="74" t="n">
        <v>200</v>
      </c>
      <c r="F9" s="67" t="n">
        <v>0</v>
      </c>
      <c r="G9" s="93">
        <f>F9/E9</f>
        <v/>
      </c>
      <c r="H9" s="71" t="n">
        <v>200</v>
      </c>
      <c r="I9" s="67" t="n">
        <v>200</v>
      </c>
      <c r="J9" s="93">
        <f>I9/H9</f>
        <v/>
      </c>
      <c r="K9" s="67" t="n">
        <v>200</v>
      </c>
      <c r="L9" s="67" t="n">
        <v>0</v>
      </c>
      <c r="M9" s="93">
        <f>L9/K9</f>
        <v/>
      </c>
      <c r="N9" s="67" t="n">
        <v>200</v>
      </c>
      <c r="O9" s="67" t="n">
        <v>0</v>
      </c>
      <c r="P9" s="93">
        <f>O9/N9</f>
        <v/>
      </c>
      <c r="Q9" s="74" t="n">
        <v>200</v>
      </c>
      <c r="R9" s="67" t="n">
        <v>0</v>
      </c>
      <c r="S9" s="93">
        <f>R9/Q9</f>
        <v/>
      </c>
      <c r="T9" s="67" t="n">
        <v>200</v>
      </c>
      <c r="U9" s="67" t="n">
        <v>0</v>
      </c>
      <c r="V9" s="93">
        <f>U9/T9</f>
        <v/>
      </c>
      <c r="W9" s="67">
        <f>E9+H9+K9+N9+Q9+T9</f>
        <v/>
      </c>
      <c r="X9" s="67">
        <f>F9+I9+L9+O9+R9+U9</f>
        <v/>
      </c>
      <c r="Y9" s="93">
        <f>X9/W9</f>
        <v/>
      </c>
      <c r="Z9" s="67" t="n">
        <v>200</v>
      </c>
      <c r="AA9" s="67" t="n"/>
      <c r="AB9" s="93">
        <f>AA9/Z9</f>
        <v/>
      </c>
      <c r="AC9" s="67" t="n">
        <v>200</v>
      </c>
      <c r="AD9" s="67" t="n"/>
      <c r="AE9" s="93">
        <f>AD9/AC9</f>
        <v/>
      </c>
      <c r="AF9" s="67" t="n">
        <v>200</v>
      </c>
      <c r="AG9" s="67" t="n"/>
      <c r="AH9" s="93">
        <f>AG9/AF9</f>
        <v/>
      </c>
      <c r="AI9" s="67" t="n">
        <v>200</v>
      </c>
      <c r="AJ9" s="67" t="n"/>
      <c r="AK9" s="93">
        <f>AJ9/AI9</f>
        <v/>
      </c>
      <c r="AL9" s="67" t="n">
        <v>200</v>
      </c>
      <c r="AM9" s="67" t="n"/>
      <c r="AN9" s="93">
        <f>AM9/AL9</f>
        <v/>
      </c>
      <c r="AO9" s="67" t="n">
        <v>200</v>
      </c>
      <c r="AP9" s="67" t="n"/>
      <c r="AQ9" s="93">
        <f>AP9/AO9</f>
        <v/>
      </c>
      <c r="AR9" s="67">
        <f>Z9+AC9+AF9+AI9+AL9+AO9</f>
        <v/>
      </c>
      <c r="AS9" s="67">
        <f>AA9+AD9+AG9+AJ9+AM9+AP9</f>
        <v/>
      </c>
      <c r="AT9" s="93">
        <f>AS9/AR9</f>
        <v/>
      </c>
      <c r="AU9" s="67">
        <f>W9+AR9</f>
        <v/>
      </c>
      <c r="AV9" s="67">
        <f>X9+AS9</f>
        <v/>
      </c>
      <c r="AW9" s="98">
        <f>AV9/AU9</f>
        <v/>
      </c>
      <c r="BA9" s="54" t="n"/>
    </row>
    <row r="10" outlineLevel="1" ht="80.25" customHeight="1" s="154">
      <c r="B10" s="198" t="inlineStr">
        <is>
          <t>アルバイト</t>
        </is>
      </c>
      <c r="C10" s="199" t="n"/>
      <c r="D10" s="200" t="n"/>
      <c r="E10" s="74" t="n"/>
      <c r="F10" s="67" t="n">
        <v>60</v>
      </c>
      <c r="G10" s="93">
        <f>F10/E10</f>
        <v/>
      </c>
      <c r="H10" s="71" t="n"/>
      <c r="I10" s="67" t="n">
        <v>0</v>
      </c>
      <c r="J10" s="93">
        <f>I10/H10</f>
        <v/>
      </c>
      <c r="K10" s="67" t="n"/>
      <c r="L10" s="67" t="n">
        <v>30</v>
      </c>
      <c r="M10" s="93">
        <f>L10/K10</f>
        <v/>
      </c>
      <c r="N10" s="67" t="n"/>
      <c r="O10" s="67" t="n">
        <v>180</v>
      </c>
      <c r="P10" s="93">
        <f>O10/N10</f>
        <v/>
      </c>
      <c r="Q10" s="74" t="n"/>
      <c r="R10" s="67" t="n">
        <v>0</v>
      </c>
      <c r="S10" s="93">
        <f>R10/Q10</f>
        <v/>
      </c>
      <c r="T10" s="67" t="n"/>
      <c r="U10" s="67" t="n">
        <v>0</v>
      </c>
      <c r="V10" s="93">
        <f>U10/T10</f>
        <v/>
      </c>
      <c r="W10" s="67">
        <f>E10+H10+K10+N10+Q10+T10</f>
        <v/>
      </c>
      <c r="X10" s="67">
        <f>F10+I10+L10+O10+R10+U10</f>
        <v/>
      </c>
      <c r="Y10" s="93">
        <f>X10/W10</f>
        <v/>
      </c>
      <c r="Z10" s="67" t="n"/>
      <c r="AA10" s="67" t="n"/>
      <c r="AB10" s="93">
        <f>AA10/Z10</f>
        <v/>
      </c>
      <c r="AC10" s="67" t="n"/>
      <c r="AD10" s="67" t="n"/>
      <c r="AE10" s="93">
        <f>AD10/AC10</f>
        <v/>
      </c>
      <c r="AF10" s="67" t="n"/>
      <c r="AG10" s="67" t="n"/>
      <c r="AH10" s="93">
        <f>AG10/AF10</f>
        <v/>
      </c>
      <c r="AI10" s="67" t="n"/>
      <c r="AJ10" s="67" t="n"/>
      <c r="AK10" s="93">
        <f>AJ10/AI10</f>
        <v/>
      </c>
      <c r="AL10" s="67" t="n"/>
      <c r="AM10" s="67" t="n"/>
      <c r="AN10" s="93">
        <f>AM10/AL10</f>
        <v/>
      </c>
      <c r="AO10" s="67" t="n"/>
      <c r="AP10" s="67" t="n"/>
      <c r="AQ10" s="93">
        <f>AP10/AO10</f>
        <v/>
      </c>
      <c r="AR10" s="67">
        <f>Z10+AC10+AF10+AI10+AL10+AO10</f>
        <v/>
      </c>
      <c r="AS10" s="67">
        <f>AA10+AD10+AG10+AJ10+AM10+AP10</f>
        <v/>
      </c>
      <c r="AT10" s="93">
        <f>AS10/AR10</f>
        <v/>
      </c>
      <c r="AU10" s="67">
        <f>W10+AR10</f>
        <v/>
      </c>
      <c r="AV10" s="67">
        <f>X10+AS10</f>
        <v/>
      </c>
      <c r="AW10" s="98">
        <f>AV10/AU10</f>
        <v/>
      </c>
      <c r="BA10" s="54" t="n"/>
    </row>
    <row r="11" outlineLevel="1" ht="80.25" customHeight="1" s="154">
      <c r="B11" s="198" t="inlineStr">
        <is>
          <t>支援業務</t>
        </is>
      </c>
      <c r="C11" s="199" t="n"/>
      <c r="D11" s="200" t="n"/>
      <c r="E11" s="75" t="n"/>
      <c r="F11" s="67" t="n">
        <v>70</v>
      </c>
      <c r="G11" s="93">
        <f>F11/E11</f>
        <v/>
      </c>
      <c r="H11" s="72" t="n"/>
      <c r="I11" s="70" t="n">
        <v>65</v>
      </c>
      <c r="J11" s="93">
        <f>I11/H11</f>
        <v/>
      </c>
      <c r="K11" s="70" t="n"/>
      <c r="L11" s="70" t="n">
        <v>65</v>
      </c>
      <c r="M11" s="93">
        <f>L11/K11</f>
        <v/>
      </c>
      <c r="N11" s="70" t="n"/>
      <c r="O11" s="70" t="n">
        <v>65</v>
      </c>
      <c r="P11" s="93">
        <f>O11/N11</f>
        <v/>
      </c>
      <c r="Q11" s="75" t="n"/>
      <c r="R11" s="70" t="n">
        <v>85</v>
      </c>
      <c r="S11" s="93">
        <f>R11/Q11</f>
        <v/>
      </c>
      <c r="T11" s="70" t="n"/>
      <c r="U11" s="70" t="n">
        <v>85</v>
      </c>
      <c r="V11" s="93">
        <f>U11/T11</f>
        <v/>
      </c>
      <c r="W11" s="70" t="n"/>
      <c r="X11" s="70">
        <f>F11+I11+L11+O11+R11+U11</f>
        <v/>
      </c>
      <c r="Y11" s="93">
        <f>X11/W11</f>
        <v/>
      </c>
      <c r="Z11" s="70" t="n"/>
      <c r="AA11" s="70" t="n"/>
      <c r="AB11" s="93">
        <f>AA11/Z11</f>
        <v/>
      </c>
      <c r="AC11" s="70" t="n"/>
      <c r="AD11" s="70" t="n"/>
      <c r="AE11" s="93">
        <f>AD11/AC11</f>
        <v/>
      </c>
      <c r="AF11" s="70" t="n"/>
      <c r="AG11" s="70" t="n"/>
      <c r="AH11" s="93">
        <f>AG11/AF11</f>
        <v/>
      </c>
      <c r="AI11" s="70" t="n"/>
      <c r="AJ11" s="70" t="n"/>
      <c r="AK11" s="93">
        <f>AJ11/AI11</f>
        <v/>
      </c>
      <c r="AL11" s="70" t="n"/>
      <c r="AM11" s="70" t="n"/>
      <c r="AN11" s="93">
        <f>AM11/AL11</f>
        <v/>
      </c>
      <c r="AO11" s="70" t="n"/>
      <c r="AP11" s="70" t="n"/>
      <c r="AQ11" s="93">
        <f>AP11/AO11</f>
        <v/>
      </c>
      <c r="AR11" s="70" t="n"/>
      <c r="AS11" s="70">
        <f>AA11+AD11+AG11+AJ11+AM11+AP11</f>
        <v/>
      </c>
      <c r="AT11" s="93">
        <f>AS11/AR11</f>
        <v/>
      </c>
      <c r="AU11" s="70">
        <f>W11+AR11</f>
        <v/>
      </c>
      <c r="AV11" s="70">
        <f>X11+AS11</f>
        <v/>
      </c>
      <c r="AW11" s="98">
        <f>AV11/AU11</f>
        <v/>
      </c>
      <c r="BA11" s="54" t="n"/>
    </row>
    <row r="12" ht="80.25" customHeight="1" s="154">
      <c r="B12" s="221" t="inlineStr">
        <is>
          <t>小計</t>
        </is>
      </c>
      <c r="C12" s="206" t="n"/>
      <c r="D12" s="207" t="n"/>
      <c r="E12" s="81">
        <f>E8+E9+E10+E11</f>
        <v/>
      </c>
      <c r="F12" s="87">
        <f>F8+F9+F10+F11</f>
        <v/>
      </c>
      <c r="G12" s="88">
        <f>F12/E12</f>
        <v/>
      </c>
      <c r="H12" s="82">
        <f>H8+H9+H10+H11</f>
        <v/>
      </c>
      <c r="I12" s="83">
        <f>I8+I9+I10+I11</f>
        <v/>
      </c>
      <c r="J12" s="88">
        <f>I12/H12</f>
        <v/>
      </c>
      <c r="K12" s="83">
        <f>K8+K9+K10+K11</f>
        <v/>
      </c>
      <c r="L12" s="83">
        <f>L8+L9+L10+L11</f>
        <v/>
      </c>
      <c r="M12" s="88">
        <f>L12/K12</f>
        <v/>
      </c>
      <c r="N12" s="83">
        <f>N8+N9+N10+N11</f>
        <v/>
      </c>
      <c r="O12" s="83">
        <f>O8+O9+O10+O11</f>
        <v/>
      </c>
      <c r="P12" s="88">
        <f>O12/N12</f>
        <v/>
      </c>
      <c r="Q12" s="81">
        <f>Q8+Q9+Q10+Q11</f>
        <v/>
      </c>
      <c r="R12" s="83">
        <f>R8+R9+R10+R11</f>
        <v/>
      </c>
      <c r="S12" s="88">
        <f>R12/Q12</f>
        <v/>
      </c>
      <c r="T12" s="83">
        <f>T8+T9+T10</f>
        <v/>
      </c>
      <c r="U12" s="83">
        <f>U8+U9+U10+U11</f>
        <v/>
      </c>
      <c r="V12" s="88">
        <f>U12/T12</f>
        <v/>
      </c>
      <c r="W12" s="83">
        <f>W8+W9+W10+W11</f>
        <v/>
      </c>
      <c r="X12" s="83">
        <f>X8+X9+X10+X11</f>
        <v/>
      </c>
      <c r="Y12" s="93">
        <f>X12/W12</f>
        <v/>
      </c>
      <c r="Z12" s="83">
        <f>Z8+Z9+Z10+Z11</f>
        <v/>
      </c>
      <c r="AA12" s="83">
        <f>AA8+AA9+AA10+AA11</f>
        <v/>
      </c>
      <c r="AB12" s="88">
        <f>AA12/Z12</f>
        <v/>
      </c>
      <c r="AC12" s="83">
        <f>AC8+AC9+AC10+AC11</f>
        <v/>
      </c>
      <c r="AD12" s="83">
        <f>AD8+AD9+AD10+AD11</f>
        <v/>
      </c>
      <c r="AE12" s="88">
        <f>AD12/AC12</f>
        <v/>
      </c>
      <c r="AF12" s="83">
        <f>AF8+AF9+AF10+AF11</f>
        <v/>
      </c>
      <c r="AG12" s="83">
        <f>AG8+AG9+AG10+AG11</f>
        <v/>
      </c>
      <c r="AH12" s="88">
        <f>AG12/AF12</f>
        <v/>
      </c>
      <c r="AI12" s="83">
        <f>AI8+AI9+AI10+AI11</f>
        <v/>
      </c>
      <c r="AJ12" s="83">
        <f>AJ8+AJ9+AJ10+AJ11</f>
        <v/>
      </c>
      <c r="AK12" s="88">
        <f>AJ12/AI12</f>
        <v/>
      </c>
      <c r="AL12" s="83">
        <f>AL8+AL9+AL10+AL11</f>
        <v/>
      </c>
      <c r="AM12" s="83">
        <f>AM8+AM9+AM10+AM11</f>
        <v/>
      </c>
      <c r="AN12" s="88">
        <f>AM12/AL12</f>
        <v/>
      </c>
      <c r="AO12" s="83">
        <f>AO8+AO9+AO10+AO11</f>
        <v/>
      </c>
      <c r="AP12" s="83">
        <f>AP8+AP9+AP10+AP11</f>
        <v/>
      </c>
      <c r="AQ12" s="88">
        <f>AP12/AO12</f>
        <v/>
      </c>
      <c r="AR12" s="83">
        <f>AR8+AR9+AR10+AR11</f>
        <v/>
      </c>
      <c r="AS12" s="83">
        <f>AS8+AS9+AS10+AS11</f>
        <v/>
      </c>
      <c r="AT12" s="93">
        <f>AS12/AR12</f>
        <v/>
      </c>
      <c r="AU12" s="83">
        <f>AU8+AU9+AU10+AU11</f>
        <v/>
      </c>
      <c r="AV12" s="83">
        <f>AV8+AV9+AV10+AV11</f>
        <v/>
      </c>
      <c r="AW12" s="98">
        <f>AV12/AU12</f>
        <v/>
      </c>
      <c r="AX12" s="191" t="n"/>
      <c r="BA12" s="54" t="n"/>
    </row>
    <row r="13" outlineLevel="1" ht="80.25" customHeight="1" s="154">
      <c r="B13" s="222" t="inlineStr">
        <is>
          <t>試験対策</t>
        </is>
      </c>
      <c r="C13" s="202" t="n"/>
      <c r="D13" s="203" t="n"/>
      <c r="E13" s="103" t="inlineStr">
        <is>
          <t>目標</t>
        </is>
      </c>
      <c r="F13" s="104" t="inlineStr">
        <is>
          <t>実績</t>
        </is>
      </c>
      <c r="G13" s="105" t="inlineStr">
        <is>
          <t>達成率</t>
        </is>
      </c>
      <c r="H13" s="106" t="inlineStr">
        <is>
          <t>目標</t>
        </is>
      </c>
      <c r="I13" s="107" t="inlineStr">
        <is>
          <t>実績</t>
        </is>
      </c>
      <c r="J13" s="105" t="inlineStr">
        <is>
          <t>達成率</t>
        </is>
      </c>
      <c r="K13" s="107" t="inlineStr">
        <is>
          <t>目標</t>
        </is>
      </c>
      <c r="L13" s="107" t="inlineStr">
        <is>
          <t>実績</t>
        </is>
      </c>
      <c r="M13" s="105" t="inlineStr">
        <is>
          <t>達成率</t>
        </is>
      </c>
      <c r="N13" s="107" t="inlineStr">
        <is>
          <t>目標</t>
        </is>
      </c>
      <c r="O13" s="107" t="inlineStr">
        <is>
          <t>実績</t>
        </is>
      </c>
      <c r="P13" s="105" t="inlineStr">
        <is>
          <t>達成率</t>
        </is>
      </c>
      <c r="Q13" s="103" t="inlineStr">
        <is>
          <t>目標</t>
        </is>
      </c>
      <c r="R13" s="107" t="inlineStr">
        <is>
          <t>実績</t>
        </is>
      </c>
      <c r="S13" s="105" t="inlineStr">
        <is>
          <t>達成率</t>
        </is>
      </c>
      <c r="T13" s="107" t="inlineStr">
        <is>
          <t>目標</t>
        </is>
      </c>
      <c r="U13" s="107" t="inlineStr">
        <is>
          <t>実績</t>
        </is>
      </c>
      <c r="V13" s="105" t="inlineStr">
        <is>
          <t>達成率</t>
        </is>
      </c>
      <c r="W13" s="107" t="inlineStr">
        <is>
          <t>目標</t>
        </is>
      </c>
      <c r="X13" s="107" t="inlineStr">
        <is>
          <t>実績</t>
        </is>
      </c>
      <c r="Y13" s="105" t="inlineStr">
        <is>
          <t>達成率</t>
        </is>
      </c>
      <c r="Z13" s="107" t="inlineStr">
        <is>
          <t>目標</t>
        </is>
      </c>
      <c r="AA13" s="107" t="inlineStr">
        <is>
          <t>実績</t>
        </is>
      </c>
      <c r="AB13" s="105" t="inlineStr">
        <is>
          <t>達成率</t>
        </is>
      </c>
      <c r="AC13" s="107" t="inlineStr">
        <is>
          <t>目標</t>
        </is>
      </c>
      <c r="AD13" s="107" t="inlineStr">
        <is>
          <t>実績</t>
        </is>
      </c>
      <c r="AE13" s="105" t="inlineStr">
        <is>
          <t>達成率</t>
        </is>
      </c>
      <c r="AF13" s="107" t="inlineStr">
        <is>
          <t>目標</t>
        </is>
      </c>
      <c r="AG13" s="107" t="inlineStr">
        <is>
          <t>実績</t>
        </is>
      </c>
      <c r="AH13" s="105" t="inlineStr">
        <is>
          <t>達成率</t>
        </is>
      </c>
      <c r="AI13" s="107" t="inlineStr">
        <is>
          <t>目標</t>
        </is>
      </c>
      <c r="AJ13" s="107" t="inlineStr">
        <is>
          <t>実績</t>
        </is>
      </c>
      <c r="AK13" s="105" t="inlineStr">
        <is>
          <t>達成率</t>
        </is>
      </c>
      <c r="AL13" s="107" t="inlineStr">
        <is>
          <t>目標</t>
        </is>
      </c>
      <c r="AM13" s="107" t="inlineStr">
        <is>
          <t>実績</t>
        </is>
      </c>
      <c r="AN13" s="105" t="inlineStr">
        <is>
          <t>達成率</t>
        </is>
      </c>
      <c r="AO13" s="107" t="inlineStr">
        <is>
          <t>目標</t>
        </is>
      </c>
      <c r="AP13" s="107" t="inlineStr">
        <is>
          <t>実績</t>
        </is>
      </c>
      <c r="AQ13" s="105" t="inlineStr">
        <is>
          <t>達成率</t>
        </is>
      </c>
      <c r="AR13" s="107" t="inlineStr">
        <is>
          <t>目標</t>
        </is>
      </c>
      <c r="AS13" s="107" t="inlineStr">
        <is>
          <t>実績</t>
        </is>
      </c>
      <c r="AT13" s="105" t="inlineStr">
        <is>
          <t>達成率</t>
        </is>
      </c>
      <c r="AU13" s="107" t="inlineStr">
        <is>
          <t>目標</t>
        </is>
      </c>
      <c r="AV13" s="107" t="inlineStr">
        <is>
          <t>実績</t>
        </is>
      </c>
      <c r="AW13" s="105" t="inlineStr">
        <is>
          <t>達成率</t>
        </is>
      </c>
      <c r="BA13" s="54" t="n"/>
    </row>
    <row r="14" ht="80.25" customHeight="1" s="154">
      <c r="B14" s="198" t="inlineStr">
        <is>
          <t>ビルクリーン</t>
        </is>
      </c>
      <c r="C14" s="199" t="n"/>
      <c r="D14" s="200" t="n"/>
      <c r="E14" s="74" t="n">
        <v>0</v>
      </c>
      <c r="F14" s="67" t="n">
        <v>87.90000000000001</v>
      </c>
      <c r="G14" s="93">
        <f>F14/E14</f>
        <v/>
      </c>
      <c r="H14" s="71" t="n">
        <v>400</v>
      </c>
      <c r="I14" s="67" t="n">
        <v>149.4</v>
      </c>
      <c r="J14" s="93">
        <f>I14/H14</f>
        <v/>
      </c>
      <c r="K14" s="67" t="n">
        <v>0</v>
      </c>
      <c r="L14" s="67" t="n">
        <v>67.2</v>
      </c>
      <c r="M14" s="93">
        <f>L14/K14</f>
        <v/>
      </c>
      <c r="N14" s="67" t="n">
        <v>400</v>
      </c>
      <c r="O14" s="67" t="n">
        <v>124.2</v>
      </c>
      <c r="P14" s="93">
        <f>O14/N14</f>
        <v/>
      </c>
      <c r="Q14" s="74" t="n">
        <v>0</v>
      </c>
      <c r="R14" s="67" t="n">
        <v>186</v>
      </c>
      <c r="S14" s="93">
        <f>R14/Q14</f>
        <v/>
      </c>
      <c r="T14" s="67" t="n">
        <v>400</v>
      </c>
      <c r="U14" s="67" t="n"/>
      <c r="V14" s="93">
        <f>U14/T14</f>
        <v/>
      </c>
      <c r="W14" s="67">
        <f>E14+H14+K14+N14+Q14+T14</f>
        <v/>
      </c>
      <c r="X14" s="67">
        <f>F14+I14+L14+O14+R14+U14</f>
        <v/>
      </c>
      <c r="Y14" s="93">
        <f>X14/W14</f>
        <v/>
      </c>
      <c r="Z14" s="67" t="n">
        <v>0</v>
      </c>
      <c r="AA14" s="67" t="n"/>
      <c r="AB14" s="93">
        <f>AA14/Z14</f>
        <v/>
      </c>
      <c r="AC14" s="67" t="n">
        <v>400</v>
      </c>
      <c r="AD14" s="67" t="n"/>
      <c r="AE14" s="93">
        <f>AD14/AC14</f>
        <v/>
      </c>
      <c r="AF14" s="67" t="n">
        <v>0</v>
      </c>
      <c r="AG14" s="67" t="n"/>
      <c r="AH14" s="93">
        <f>AG14/AF14</f>
        <v/>
      </c>
      <c r="AI14" s="67" t="n">
        <v>400</v>
      </c>
      <c r="AJ14" s="67" t="n"/>
      <c r="AK14" s="93">
        <f>AJ14/AI14</f>
        <v/>
      </c>
      <c r="AL14" s="67" t="n">
        <v>0</v>
      </c>
      <c r="AM14" s="67" t="n"/>
      <c r="AN14" s="93">
        <f>AM14/AL14</f>
        <v/>
      </c>
      <c r="AO14" s="67" t="n">
        <v>400</v>
      </c>
      <c r="AP14" s="67" t="n"/>
      <c r="AQ14" s="93">
        <f>AP14/AO14</f>
        <v/>
      </c>
      <c r="AR14" s="67">
        <f>Z14+AC14+AF14+AI14+AL14+AO14</f>
        <v/>
      </c>
      <c r="AS14" s="67">
        <f>AA14+AD14+AG14+AJ14+AM14+AP14</f>
        <v/>
      </c>
      <c r="AT14" s="93">
        <f>AS14/AR14</f>
        <v/>
      </c>
      <c r="AU14" s="67">
        <f>W14+AR14</f>
        <v/>
      </c>
      <c r="AV14" s="67">
        <f>X14+AS14</f>
        <v/>
      </c>
      <c r="AW14" s="98">
        <f>AV14/AU14</f>
        <v/>
      </c>
      <c r="AX14" s="191" t="n"/>
      <c r="BA14" s="54" t="n"/>
    </row>
    <row r="15" ht="80.25" customHeight="1" s="154">
      <c r="B15" s="198" t="inlineStr">
        <is>
          <t>外食</t>
        </is>
      </c>
      <c r="C15" s="199" t="n"/>
      <c r="D15" s="200" t="n"/>
      <c r="E15" s="74" t="n">
        <v>0</v>
      </c>
      <c r="F15" s="67" t="n"/>
      <c r="G15" s="93">
        <f>F15/E15</f>
        <v/>
      </c>
      <c r="H15" s="71" t="n">
        <v>0</v>
      </c>
      <c r="I15" s="67" t="n">
        <v>0</v>
      </c>
      <c r="J15" s="93">
        <f>I15/H15</f>
        <v/>
      </c>
      <c r="K15" s="67" t="n">
        <v>0</v>
      </c>
      <c r="L15" s="67" t="n"/>
      <c r="M15" s="93">
        <f>L15/K15</f>
        <v/>
      </c>
      <c r="N15" s="67" t="n">
        <v>0</v>
      </c>
      <c r="O15" s="67" t="n"/>
      <c r="P15" s="93">
        <f>O15/N15</f>
        <v/>
      </c>
      <c r="Q15" s="74" t="n">
        <v>0</v>
      </c>
      <c r="R15" s="67" t="n">
        <v>0</v>
      </c>
      <c r="S15" s="93">
        <f>R15/Q15</f>
        <v/>
      </c>
      <c r="T15" s="67" t="n">
        <v>0</v>
      </c>
      <c r="U15" s="67" t="n">
        <v>0</v>
      </c>
      <c r="V15" s="93">
        <f>U15/T15</f>
        <v/>
      </c>
      <c r="W15" s="67">
        <f>E15+H15+K15+N15+Q15+T15</f>
        <v/>
      </c>
      <c r="X15" s="67">
        <f>F15+I15+L15+O15+R15+U15</f>
        <v/>
      </c>
      <c r="Y15" s="93">
        <f>X15/W15</f>
        <v/>
      </c>
      <c r="Z15" s="67" t="n">
        <v>0</v>
      </c>
      <c r="AA15" s="67" t="n"/>
      <c r="AB15" s="93">
        <f>AA15/Z15</f>
        <v/>
      </c>
      <c r="AC15" s="67" t="n">
        <v>0</v>
      </c>
      <c r="AD15" s="67" t="n"/>
      <c r="AE15" s="93">
        <f>AD15/AC15</f>
        <v/>
      </c>
      <c r="AF15" s="67" t="n">
        <v>0</v>
      </c>
      <c r="AG15" s="67" t="n"/>
      <c r="AH15" s="93">
        <f>AG15/AF15</f>
        <v/>
      </c>
      <c r="AI15" s="67" t="n">
        <v>0</v>
      </c>
      <c r="AJ15" s="67" t="n"/>
      <c r="AK15" s="93">
        <f>AJ15/AI15</f>
        <v/>
      </c>
      <c r="AL15" s="67" t="n">
        <v>0</v>
      </c>
      <c r="AM15" s="67" t="n"/>
      <c r="AN15" s="93">
        <f>AM15/AL15</f>
        <v/>
      </c>
      <c r="AO15" s="67" t="n">
        <v>0</v>
      </c>
      <c r="AP15" s="67" t="n"/>
      <c r="AQ15" s="93">
        <f>AP15/AO15</f>
        <v/>
      </c>
      <c r="AR15" s="67">
        <f>Z15+AC15+AF15+AI15+AL15+AO15</f>
        <v/>
      </c>
      <c r="AS15" s="67">
        <f>AA15+AD15+AG15+AJ15+AM15+AP15</f>
        <v/>
      </c>
      <c r="AT15" s="93">
        <f>AS15/AR15</f>
        <v/>
      </c>
      <c r="AU15" s="67">
        <f>W15+AR15</f>
        <v/>
      </c>
      <c r="AV15" s="67">
        <f>X15+AS15</f>
        <v/>
      </c>
      <c r="AW15" s="98">
        <f>AV15/AU15</f>
        <v/>
      </c>
      <c r="BA15" s="54" t="n"/>
    </row>
    <row r="16" ht="80.25" customHeight="1" s="154">
      <c r="B16" s="198" t="inlineStr">
        <is>
          <t>宿泊</t>
        </is>
      </c>
      <c r="C16" s="199" t="n"/>
      <c r="D16" s="200" t="n"/>
      <c r="E16" s="74" t="n">
        <v>0</v>
      </c>
      <c r="F16" s="67" t="n"/>
      <c r="G16" s="93">
        <f>F16/E16</f>
        <v/>
      </c>
      <c r="H16" s="71" t="n">
        <v>0</v>
      </c>
      <c r="I16" s="67" t="n">
        <v>0</v>
      </c>
      <c r="J16" s="93">
        <f>I16/H16</f>
        <v/>
      </c>
      <c r="K16" s="67" t="n">
        <v>0</v>
      </c>
      <c r="L16" s="67" t="n"/>
      <c r="M16" s="93">
        <f>L16/K16</f>
        <v/>
      </c>
      <c r="N16" s="67" t="n">
        <v>0</v>
      </c>
      <c r="O16" s="67" t="n"/>
      <c r="P16" s="93">
        <f>O16/N16</f>
        <v/>
      </c>
      <c r="Q16" s="74" t="n">
        <v>0</v>
      </c>
      <c r="R16" s="67" t="n">
        <v>0</v>
      </c>
      <c r="S16" s="93">
        <f>R16/Q16</f>
        <v/>
      </c>
      <c r="T16" s="67" t="n">
        <v>0</v>
      </c>
      <c r="U16" s="67" t="n">
        <v>0</v>
      </c>
      <c r="V16" s="93">
        <f>U16/T16</f>
        <v/>
      </c>
      <c r="W16" s="67">
        <f>E16+H16+K16+N16+Q16+T16</f>
        <v/>
      </c>
      <c r="X16" s="67">
        <f>F16+I16+L16+O16+R16+U16</f>
        <v/>
      </c>
      <c r="Y16" s="93">
        <f>X16/W16</f>
        <v/>
      </c>
      <c r="Z16" s="67" t="n">
        <v>0</v>
      </c>
      <c r="AA16" s="67" t="n"/>
      <c r="AB16" s="93">
        <f>AA16/Z16</f>
        <v/>
      </c>
      <c r="AC16" s="67" t="n">
        <v>0</v>
      </c>
      <c r="AD16" s="67" t="n"/>
      <c r="AE16" s="93">
        <f>AD16/AC16</f>
        <v/>
      </c>
      <c r="AF16" s="67" t="n">
        <v>0</v>
      </c>
      <c r="AG16" s="67" t="n"/>
      <c r="AH16" s="93">
        <f>AG16/AF16</f>
        <v/>
      </c>
      <c r="AI16" s="67" t="n">
        <v>0</v>
      </c>
      <c r="AJ16" s="67" t="n"/>
      <c r="AK16" s="93">
        <f>AJ16/AI16</f>
        <v/>
      </c>
      <c r="AL16" s="67" t="n">
        <v>0</v>
      </c>
      <c r="AM16" s="67" t="n"/>
      <c r="AN16" s="93">
        <f>AM16/AL16</f>
        <v/>
      </c>
      <c r="AO16" s="67" t="n">
        <v>0</v>
      </c>
      <c r="AP16" s="67" t="n"/>
      <c r="AQ16" s="93">
        <f>AP16/AO16</f>
        <v/>
      </c>
      <c r="AR16" s="67">
        <f>Z16+AC16+AF16+AI16+AL16+AO16</f>
        <v/>
      </c>
      <c r="AS16" s="67">
        <f>AA16+AD16+AG16+AJ16+AM16+AP16</f>
        <v/>
      </c>
      <c r="AT16" s="93">
        <f>AS16/AR16</f>
        <v/>
      </c>
      <c r="AU16" s="67">
        <f>W16+AR16</f>
        <v/>
      </c>
      <c r="AV16" s="67">
        <f>X16+AS16</f>
        <v/>
      </c>
      <c r="AW16" s="98">
        <f>AV16/AU16</f>
        <v/>
      </c>
      <c r="BA16" s="54" t="n"/>
    </row>
    <row r="17" ht="80.25" customHeight="1" s="154">
      <c r="B17" s="224" t="inlineStr">
        <is>
          <t>小計</t>
        </is>
      </c>
      <c r="C17" s="206" t="n"/>
      <c r="D17" s="207" t="n"/>
      <c r="E17" s="81">
        <f>SUM(E14:E16)</f>
        <v/>
      </c>
      <c r="F17" s="83">
        <f>SUM(F14:F16)</f>
        <v/>
      </c>
      <c r="G17" s="93">
        <f>F17/E17</f>
        <v/>
      </c>
      <c r="H17" s="82">
        <f>SUM(H14:H16)</f>
        <v/>
      </c>
      <c r="I17" s="83">
        <f>SUM(I14:I16)</f>
        <v/>
      </c>
      <c r="J17" s="93">
        <f>I17/H17</f>
        <v/>
      </c>
      <c r="K17" s="83">
        <f>SUM(K14:K16)</f>
        <v/>
      </c>
      <c r="L17" s="83">
        <f>SUM(L14:L16)</f>
        <v/>
      </c>
      <c r="M17" s="93">
        <f>L17/K17</f>
        <v/>
      </c>
      <c r="N17" s="83">
        <f>SUM(N14:N16)</f>
        <v/>
      </c>
      <c r="O17" s="83">
        <f>SUM(O14:O16)</f>
        <v/>
      </c>
      <c r="P17" s="93">
        <f>O17/N17</f>
        <v/>
      </c>
      <c r="Q17" s="81">
        <f>SUM(Q14:Q16)</f>
        <v/>
      </c>
      <c r="R17" s="83">
        <f>SUM(R14:R16)</f>
        <v/>
      </c>
      <c r="S17" s="93">
        <f>R17/Q17</f>
        <v/>
      </c>
      <c r="T17" s="83">
        <f>SUM(T14:T16)</f>
        <v/>
      </c>
      <c r="U17" s="83">
        <f>SUM(U14:U16)</f>
        <v/>
      </c>
      <c r="V17" s="93">
        <f>U17/T17</f>
        <v/>
      </c>
      <c r="W17" s="83">
        <f>SUM(W14:W16)</f>
        <v/>
      </c>
      <c r="X17" s="83">
        <f>SUM(X14:X16)</f>
        <v/>
      </c>
      <c r="Y17" s="93">
        <f>X17/W17</f>
        <v/>
      </c>
      <c r="Z17" s="83">
        <f>SUM(Z14:Z16)</f>
        <v/>
      </c>
      <c r="AA17" s="83">
        <f>SUM(AA14:AA16)</f>
        <v/>
      </c>
      <c r="AB17" s="93">
        <f>AA17/Z17</f>
        <v/>
      </c>
      <c r="AC17" s="83">
        <f>SUM(AC14:AC16)</f>
        <v/>
      </c>
      <c r="AD17" s="83">
        <f>SUM(AD14:AD16)</f>
        <v/>
      </c>
      <c r="AE17" s="93">
        <f>AD17/AC17</f>
        <v/>
      </c>
      <c r="AF17" s="83">
        <f>SUM(AF14:AF16)</f>
        <v/>
      </c>
      <c r="AG17" s="83">
        <f>SUM(AG14:AG16)</f>
        <v/>
      </c>
      <c r="AH17" s="93">
        <f>AG17/AF17</f>
        <v/>
      </c>
      <c r="AI17" s="83">
        <f>SUM(AI14:AI16)</f>
        <v/>
      </c>
      <c r="AJ17" s="83">
        <f>SUM(AJ14:AJ16)</f>
        <v/>
      </c>
      <c r="AK17" s="93">
        <f>AJ17/AI17</f>
        <v/>
      </c>
      <c r="AL17" s="83">
        <f>SUM(AL14:AL16)</f>
        <v/>
      </c>
      <c r="AM17" s="83">
        <f>SUM(AM14:AM16)</f>
        <v/>
      </c>
      <c r="AN17" s="93">
        <f>AM17/AL17</f>
        <v/>
      </c>
      <c r="AO17" s="83">
        <f>SUM(AO14:AO16)</f>
        <v/>
      </c>
      <c r="AP17" s="83">
        <f>SUM(AP14:AP16)</f>
        <v/>
      </c>
      <c r="AQ17" s="93">
        <f>AP17/AO17</f>
        <v/>
      </c>
      <c r="AR17" s="83">
        <f>SUM(AR14:AR16)</f>
        <v/>
      </c>
      <c r="AS17" s="83">
        <f>SUM(AS14:AS16)</f>
        <v/>
      </c>
      <c r="AT17" s="93">
        <f>AS17/AR17</f>
        <v/>
      </c>
      <c r="AU17" s="83">
        <f>SUM(AU14:AU16)</f>
        <v/>
      </c>
      <c r="AV17" s="83">
        <f>SUM(AV14:AV16)</f>
        <v/>
      </c>
      <c r="AW17" s="98">
        <f>AV17/AU17</f>
        <v/>
      </c>
      <c r="AX17" s="191" t="n"/>
      <c r="AY17" s="191" t="n"/>
      <c r="BA17" s="54" t="n"/>
    </row>
    <row r="18" ht="80.25" customHeight="1" s="154">
      <c r="B18" s="213" t="inlineStr">
        <is>
          <t>内部紹介</t>
        </is>
      </c>
      <c r="C18" s="202" t="n"/>
      <c r="D18" s="203" t="n"/>
      <c r="E18" s="109" t="inlineStr">
        <is>
          <t>目標</t>
        </is>
      </c>
      <c r="F18" s="110" t="inlineStr">
        <is>
          <t>実績</t>
        </is>
      </c>
      <c r="G18" s="111" t="inlineStr">
        <is>
          <t>達成率</t>
        </is>
      </c>
      <c r="H18" s="112" t="inlineStr">
        <is>
          <t>目標</t>
        </is>
      </c>
      <c r="I18" s="113" t="inlineStr">
        <is>
          <t>実績</t>
        </is>
      </c>
      <c r="J18" s="111" t="inlineStr">
        <is>
          <t>達成率</t>
        </is>
      </c>
      <c r="K18" s="113" t="inlineStr">
        <is>
          <t>目標</t>
        </is>
      </c>
      <c r="L18" s="113" t="inlineStr">
        <is>
          <t>実績</t>
        </is>
      </c>
      <c r="M18" s="111" t="inlineStr">
        <is>
          <t>達成率</t>
        </is>
      </c>
      <c r="N18" s="113" t="inlineStr">
        <is>
          <t>目標</t>
        </is>
      </c>
      <c r="O18" s="113" t="inlineStr">
        <is>
          <t>実績</t>
        </is>
      </c>
      <c r="P18" s="111" t="inlineStr">
        <is>
          <t>達成率</t>
        </is>
      </c>
      <c r="Q18" s="109" t="inlineStr">
        <is>
          <t>目標</t>
        </is>
      </c>
      <c r="R18" s="113" t="inlineStr">
        <is>
          <t>実績</t>
        </is>
      </c>
      <c r="S18" s="111" t="inlineStr">
        <is>
          <t>達成率</t>
        </is>
      </c>
      <c r="T18" s="113" t="inlineStr">
        <is>
          <t>目標</t>
        </is>
      </c>
      <c r="U18" s="113" t="inlineStr">
        <is>
          <t>実績</t>
        </is>
      </c>
      <c r="V18" s="111" t="inlineStr">
        <is>
          <t>達成率</t>
        </is>
      </c>
      <c r="W18" s="113" t="inlineStr">
        <is>
          <t>目標</t>
        </is>
      </c>
      <c r="X18" s="113" t="inlineStr">
        <is>
          <t>実績</t>
        </is>
      </c>
      <c r="Y18" s="111" t="inlineStr">
        <is>
          <t>達成率</t>
        </is>
      </c>
      <c r="Z18" s="113" t="inlineStr">
        <is>
          <t>目標</t>
        </is>
      </c>
      <c r="AA18" s="113" t="inlineStr">
        <is>
          <t>実績</t>
        </is>
      </c>
      <c r="AB18" s="111" t="inlineStr">
        <is>
          <t>達成率</t>
        </is>
      </c>
      <c r="AC18" s="113" t="inlineStr">
        <is>
          <t>目標</t>
        </is>
      </c>
      <c r="AD18" s="113" t="inlineStr">
        <is>
          <t>実績</t>
        </is>
      </c>
      <c r="AE18" s="111" t="inlineStr">
        <is>
          <t>達成率</t>
        </is>
      </c>
      <c r="AF18" s="113" t="inlineStr">
        <is>
          <t>目標</t>
        </is>
      </c>
      <c r="AG18" s="113" t="inlineStr">
        <is>
          <t>実績</t>
        </is>
      </c>
      <c r="AH18" s="111" t="inlineStr">
        <is>
          <t>達成率</t>
        </is>
      </c>
      <c r="AI18" s="113" t="inlineStr">
        <is>
          <t>目標</t>
        </is>
      </c>
      <c r="AJ18" s="113" t="inlineStr">
        <is>
          <t>実績</t>
        </is>
      </c>
      <c r="AK18" s="111" t="inlineStr">
        <is>
          <t>達成率</t>
        </is>
      </c>
      <c r="AL18" s="113" t="inlineStr">
        <is>
          <t>目標</t>
        </is>
      </c>
      <c r="AM18" s="113" t="inlineStr">
        <is>
          <t>実績</t>
        </is>
      </c>
      <c r="AN18" s="111" t="inlineStr">
        <is>
          <t>達成率</t>
        </is>
      </c>
      <c r="AO18" s="113" t="inlineStr">
        <is>
          <t>目標</t>
        </is>
      </c>
      <c r="AP18" s="113" t="inlineStr">
        <is>
          <t>実績</t>
        </is>
      </c>
      <c r="AQ18" s="111" t="inlineStr">
        <is>
          <t>達成率</t>
        </is>
      </c>
      <c r="AR18" s="113" t="inlineStr">
        <is>
          <t>目標</t>
        </is>
      </c>
      <c r="AS18" s="113" t="inlineStr">
        <is>
          <t>実績</t>
        </is>
      </c>
      <c r="AT18" s="111" t="inlineStr">
        <is>
          <t>達成率</t>
        </is>
      </c>
      <c r="AU18" s="113" t="inlineStr">
        <is>
          <t>目標</t>
        </is>
      </c>
      <c r="AV18" s="113" t="inlineStr">
        <is>
          <t>実績</t>
        </is>
      </c>
      <c r="AW18" s="111" t="inlineStr">
        <is>
          <t>達成率</t>
        </is>
      </c>
      <c r="AX18" s="191" t="n"/>
      <c r="AY18" s="191" t="n"/>
      <c r="BA18" s="54" t="n"/>
    </row>
    <row r="19" ht="80.25" customHeight="1" s="154">
      <c r="B19" s="214" t="inlineStr">
        <is>
          <t>技人国　　　　　　　　　　　　　　　　　　　　　N１／３０％　N2／２０％　N3／１５％</t>
        </is>
      </c>
      <c r="C19" s="199" t="n"/>
      <c r="D19" s="200" t="n"/>
      <c r="E19" s="74" t="n"/>
      <c r="F19" s="67" t="n"/>
      <c r="G19" s="93">
        <f>F19/E19</f>
        <v/>
      </c>
      <c r="H19" s="71" t="n"/>
      <c r="I19" s="67" t="n">
        <v>400</v>
      </c>
      <c r="J19" s="93">
        <f>I19/H19</f>
        <v/>
      </c>
      <c r="K19" s="67" t="n"/>
      <c r="L19" s="67" t="n">
        <v>800</v>
      </c>
      <c r="M19" s="93">
        <f>L19/K19</f>
        <v/>
      </c>
      <c r="N19" s="67" t="n"/>
      <c r="O19" s="67" t="n"/>
      <c r="P19" s="93">
        <f>O19/N19</f>
        <v/>
      </c>
      <c r="Q19" s="74" t="n"/>
      <c r="R19" s="67" t="n">
        <v>0</v>
      </c>
      <c r="S19" s="93">
        <f>R19/Q19</f>
        <v/>
      </c>
      <c r="T19" s="67" t="n"/>
      <c r="U19" s="67" t="n">
        <v>0</v>
      </c>
      <c r="V19" s="93">
        <f>U19/T19</f>
        <v/>
      </c>
      <c r="W19" s="67">
        <f>E19+H19+K19+N19+Q19+T19</f>
        <v/>
      </c>
      <c r="X19" s="67">
        <f>F19+I19+L19+O19+R19+U19</f>
        <v/>
      </c>
      <c r="Y19" s="93">
        <f>X19/W19</f>
        <v/>
      </c>
      <c r="Z19" s="67" t="n"/>
      <c r="AA19" s="67" t="n"/>
      <c r="AB19" s="93">
        <f>AA19/Z19</f>
        <v/>
      </c>
      <c r="AC19" s="67" t="n"/>
      <c r="AD19" s="67" t="n"/>
      <c r="AE19" s="93">
        <f>AD19/AC19</f>
        <v/>
      </c>
      <c r="AF19" s="67" t="n"/>
      <c r="AG19" s="67" t="n"/>
      <c r="AH19" s="93">
        <f>AG19/AF19</f>
        <v/>
      </c>
      <c r="AI19" s="67" t="n"/>
      <c r="AJ19" s="67" t="n"/>
      <c r="AK19" s="93">
        <f>AJ19/AI19</f>
        <v/>
      </c>
      <c r="AL19" s="67" t="n"/>
      <c r="AM19" s="67" t="n"/>
      <c r="AN19" s="93">
        <f>AM19/AL19</f>
        <v/>
      </c>
      <c r="AO19" s="67" t="n"/>
      <c r="AP19" s="67" t="n"/>
      <c r="AQ19" s="93">
        <f>AP19/AO19</f>
        <v/>
      </c>
      <c r="AR19" s="67">
        <f>Z19+AC19+AF19+AI19+AL19+AO19</f>
        <v/>
      </c>
      <c r="AS19" s="67">
        <f>AA19+AD19+AG19+AJ19+AM19+AP19</f>
        <v/>
      </c>
      <c r="AT19" s="93">
        <f>AS19/AR19</f>
        <v/>
      </c>
      <c r="AU19" s="67">
        <f>W19+AR19</f>
        <v/>
      </c>
      <c r="AV19" s="67">
        <f>X19+AS19</f>
        <v/>
      </c>
      <c r="AW19" s="98">
        <f>AV19/AU19</f>
        <v/>
      </c>
      <c r="AX19" s="191" t="n"/>
      <c r="AY19" s="191" t="n"/>
      <c r="BA19" s="54" t="n"/>
    </row>
    <row r="20" ht="80.25" customHeight="1" s="154">
      <c r="B20" s="198" t="inlineStr">
        <is>
          <t>特定技能（一律２0万）✕　〇人</t>
        </is>
      </c>
      <c r="C20" s="199" t="n"/>
      <c r="D20" s="200" t="n"/>
      <c r="E20" s="74" t="n">
        <v>3000</v>
      </c>
      <c r="F20" s="67" t="n">
        <v>800</v>
      </c>
      <c r="G20" s="93">
        <f>F20/E20</f>
        <v/>
      </c>
      <c r="H20" s="71" t="n">
        <v>3000</v>
      </c>
      <c r="I20" s="67" t="n">
        <v>2400</v>
      </c>
      <c r="J20" s="93">
        <f>I20/H20</f>
        <v/>
      </c>
      <c r="K20" s="67" t="n">
        <v>3000</v>
      </c>
      <c r="L20" s="67" t="n">
        <v>2400</v>
      </c>
      <c r="M20" s="93">
        <f>L20/K20</f>
        <v/>
      </c>
      <c r="N20" s="67" t="n">
        <v>3000</v>
      </c>
      <c r="O20" s="67" t="n">
        <v>1000</v>
      </c>
      <c r="P20" s="93">
        <f>O20/N20</f>
        <v/>
      </c>
      <c r="Q20" s="74" t="n">
        <v>3000</v>
      </c>
      <c r="R20" s="67" t="n">
        <v>600</v>
      </c>
      <c r="S20" s="93">
        <f>R20/Q20</f>
        <v/>
      </c>
      <c r="T20" s="67" t="n">
        <v>3000</v>
      </c>
      <c r="U20" s="67" t="n">
        <v>1200</v>
      </c>
      <c r="V20" s="93">
        <f>U20/T20</f>
        <v/>
      </c>
      <c r="W20" s="67">
        <f>E20+H20+K20+N20+Q20+T20</f>
        <v/>
      </c>
      <c r="X20" s="67">
        <f>F20+I20+L20+O20+R20+U20</f>
        <v/>
      </c>
      <c r="Y20" s="93">
        <f>X20/W20</f>
        <v/>
      </c>
      <c r="Z20" s="67" t="n">
        <v>3000</v>
      </c>
      <c r="AA20" s="67" t="n"/>
      <c r="AB20" s="93">
        <f>AA20/Z20</f>
        <v/>
      </c>
      <c r="AC20" s="67" t="n">
        <v>3000</v>
      </c>
      <c r="AD20" s="67" t="n"/>
      <c r="AE20" s="93">
        <f>AD20/AC20</f>
        <v/>
      </c>
      <c r="AF20" s="67" t="n">
        <v>3000</v>
      </c>
      <c r="AG20" s="67" t="n"/>
      <c r="AH20" s="93">
        <f>AG20/AF20</f>
        <v/>
      </c>
      <c r="AI20" s="67" t="n">
        <v>3000</v>
      </c>
      <c r="AJ20" s="67" t="n"/>
      <c r="AK20" s="93">
        <f>AJ20/AI20</f>
        <v/>
      </c>
      <c r="AL20" s="67" t="n">
        <v>3000</v>
      </c>
      <c r="AM20" s="67" t="n"/>
      <c r="AN20" s="93">
        <f>AM20/AL20</f>
        <v/>
      </c>
      <c r="AO20" s="67" t="n">
        <v>3000</v>
      </c>
      <c r="AP20" s="67" t="n"/>
      <c r="AQ20" s="93">
        <f>AP20/AO20</f>
        <v/>
      </c>
      <c r="AR20" s="67">
        <f>Z20+AC20+AF20+AI20+AL20+AO20</f>
        <v/>
      </c>
      <c r="AS20" s="67">
        <f>AA20+AD20+AG20+AJ20+AM20+AP20</f>
        <v/>
      </c>
      <c r="AT20" s="93">
        <f>AS20/AR20</f>
        <v/>
      </c>
      <c r="AU20" s="67">
        <f>W20+AR20</f>
        <v/>
      </c>
      <c r="AV20" s="67">
        <f>X20+AS20</f>
        <v/>
      </c>
      <c r="AW20" s="98">
        <f>AV20/AU20</f>
        <v/>
      </c>
      <c r="AX20" s="191" t="n"/>
      <c r="AY20" s="191" t="n"/>
      <c r="BA20" s="54" t="n"/>
    </row>
    <row r="21" ht="80.25" customHeight="1" s="154">
      <c r="B21" s="198" t="inlineStr">
        <is>
          <t>アルバイト(3万円／人）</t>
        </is>
      </c>
      <c r="C21" s="199" t="n"/>
      <c r="D21" s="200" t="n"/>
      <c r="E21" s="74" t="n"/>
      <c r="F21" s="67" t="n">
        <v>720</v>
      </c>
      <c r="G21" s="93">
        <f>F21/E21</f>
        <v/>
      </c>
      <c r="H21" s="71" t="n"/>
      <c r="I21" s="67" t="n">
        <v>390</v>
      </c>
      <c r="J21" s="93">
        <f>I21/H21</f>
        <v/>
      </c>
      <c r="K21" s="67" t="n"/>
      <c r="L21" s="67" t="n">
        <v>450</v>
      </c>
      <c r="M21" s="93">
        <f>L21/K21</f>
        <v/>
      </c>
      <c r="N21" s="67" t="n"/>
      <c r="O21" s="67" t="n">
        <v>210</v>
      </c>
      <c r="P21" s="93">
        <f>O21/N21</f>
        <v/>
      </c>
      <c r="Q21" s="74" t="n"/>
      <c r="R21" s="67" t="n">
        <v>840</v>
      </c>
      <c r="S21" s="93">
        <f>R21/Q21</f>
        <v/>
      </c>
      <c r="T21" s="67" t="n"/>
      <c r="U21" s="67" t="n">
        <v>630</v>
      </c>
      <c r="V21" s="93">
        <f>U21/T21</f>
        <v/>
      </c>
      <c r="W21" s="67">
        <f>E21+H21+K21+N21+Q21+T21</f>
        <v/>
      </c>
      <c r="X21" s="67">
        <f>F21+I21+L21+O21+R21+U21</f>
        <v/>
      </c>
      <c r="Y21" s="93">
        <f>X21/W21</f>
        <v/>
      </c>
      <c r="Z21" s="67" t="n"/>
      <c r="AA21" s="67" t="n"/>
      <c r="AB21" s="93">
        <f>AA21/Z21</f>
        <v/>
      </c>
      <c r="AC21" s="67" t="n"/>
      <c r="AD21" s="67" t="n"/>
      <c r="AE21" s="93">
        <f>AD21/AC21</f>
        <v/>
      </c>
      <c r="AF21" s="67" t="n"/>
      <c r="AG21" s="67" t="n"/>
      <c r="AH21" s="93">
        <f>AG21/AF21</f>
        <v/>
      </c>
      <c r="AI21" s="67" t="n"/>
      <c r="AJ21" s="67" t="n"/>
      <c r="AK21" s="93">
        <f>AJ21/AI21</f>
        <v/>
      </c>
      <c r="AL21" s="67" t="n"/>
      <c r="AM21" s="67" t="n"/>
      <c r="AN21" s="93">
        <f>AM21/AL21</f>
        <v/>
      </c>
      <c r="AO21" s="67" t="n"/>
      <c r="AP21" s="67" t="n"/>
      <c r="AQ21" s="93">
        <f>AP21/AO21</f>
        <v/>
      </c>
      <c r="AR21" s="67">
        <f>Z21+AC21+AF21+AI21+AL21+AO21</f>
        <v/>
      </c>
      <c r="AS21" s="67">
        <f>AA21+AD21+AG21+AJ21+AM21+AP21</f>
        <v/>
      </c>
      <c r="AT21" s="93">
        <f>AS21/AR21</f>
        <v/>
      </c>
      <c r="AU21" s="67">
        <f>W21+AR21</f>
        <v/>
      </c>
      <c r="AV21" s="67">
        <f>X21+AS21</f>
        <v/>
      </c>
      <c r="AW21" s="98">
        <f>AV21/AU21</f>
        <v/>
      </c>
      <c r="AX21" s="191" t="n"/>
      <c r="AY21" s="191" t="n"/>
      <c r="BA21" s="54" t="n"/>
    </row>
    <row r="22" ht="80.25" customHeight="1" s="154">
      <c r="B22" s="215" t="inlineStr">
        <is>
          <t>支援人数(1万円／人）</t>
        </is>
      </c>
      <c r="C22" s="216" t="n"/>
      <c r="D22" s="217" t="n"/>
      <c r="E22" s="74" t="n">
        <v>1500</v>
      </c>
      <c r="F22" s="67" t="n">
        <v>1550</v>
      </c>
      <c r="G22" s="93">
        <f>F22/E22</f>
        <v/>
      </c>
      <c r="H22" s="71" t="n">
        <v>1500</v>
      </c>
      <c r="I22" s="67" t="n">
        <v>1630</v>
      </c>
      <c r="J22" s="93">
        <f>I22/H22</f>
        <v/>
      </c>
      <c r="K22" s="67" t="n">
        <v>1500</v>
      </c>
      <c r="L22" s="67" t="n">
        <v>1760</v>
      </c>
      <c r="M22" s="93">
        <f>L22/K22</f>
        <v/>
      </c>
      <c r="N22" s="67" t="n">
        <v>1500</v>
      </c>
      <c r="O22" s="67" t="n">
        <v>1850</v>
      </c>
      <c r="P22" s="93">
        <f>O22/N22</f>
        <v/>
      </c>
      <c r="Q22" s="74" t="n">
        <v>1500</v>
      </c>
      <c r="R22" s="67" t="n">
        <v>1870</v>
      </c>
      <c r="S22" s="93">
        <f>R22/Q22</f>
        <v/>
      </c>
      <c r="T22" s="67" t="n">
        <v>1500</v>
      </c>
      <c r="U22" s="67" t="n">
        <v>1900</v>
      </c>
      <c r="V22" s="93">
        <f>U22/T22</f>
        <v/>
      </c>
      <c r="W22" s="67">
        <f>E22+H22+K22+N22+Q22+T22</f>
        <v/>
      </c>
      <c r="X22" s="67">
        <f>F22+I22+L22+O22+R22+U22</f>
        <v/>
      </c>
      <c r="Y22" s="93">
        <f>X22/W22</f>
        <v/>
      </c>
      <c r="Z22" s="67" t="n">
        <v>1500</v>
      </c>
      <c r="AA22" s="67" t="n"/>
      <c r="AB22" s="93">
        <f>AA22/Z22</f>
        <v/>
      </c>
      <c r="AC22" s="67" t="n">
        <v>1500</v>
      </c>
      <c r="AD22" s="67" t="n"/>
      <c r="AE22" s="93">
        <f>AD22/AC22</f>
        <v/>
      </c>
      <c r="AF22" s="67" t="n">
        <v>1500</v>
      </c>
      <c r="AG22" s="67" t="n"/>
      <c r="AH22" s="93">
        <f>AG22/AF22</f>
        <v/>
      </c>
      <c r="AI22" s="67" t="n">
        <v>1500</v>
      </c>
      <c r="AJ22" s="67" t="n"/>
      <c r="AK22" s="93">
        <f>AJ22/AI22</f>
        <v/>
      </c>
      <c r="AL22" s="67" t="n">
        <v>1500</v>
      </c>
      <c r="AM22" s="67" t="n"/>
      <c r="AN22" s="93">
        <f>AM22/AL22</f>
        <v/>
      </c>
      <c r="AO22" s="67" t="n">
        <v>1500</v>
      </c>
      <c r="AP22" s="67" t="n"/>
      <c r="AQ22" s="93">
        <f>AP22/AO22</f>
        <v/>
      </c>
      <c r="AR22" s="67">
        <f>Z22+AC22+AF22+AI22+AL22+AO22</f>
        <v/>
      </c>
      <c r="AS22" s="67">
        <f>AA22+AD22+AG22+AJ22+AM22+AP22</f>
        <v/>
      </c>
      <c r="AT22" s="93">
        <f>AS22/AR22</f>
        <v/>
      </c>
      <c r="AU22" s="67">
        <f>W22+AR22</f>
        <v/>
      </c>
      <c r="AV22" s="67">
        <f>X22+AS22</f>
        <v/>
      </c>
      <c r="AW22" s="98">
        <f>AV22/AU22</f>
        <v/>
      </c>
      <c r="AX22" s="191" t="n"/>
      <c r="AY22" s="191" t="n"/>
      <c r="BA22" s="54" t="n"/>
    </row>
    <row r="23" ht="104" customHeight="1" s="154" thickBot="1">
      <c r="B23" s="223" t="inlineStr">
        <is>
          <t>小計</t>
        </is>
      </c>
      <c r="C23" s="187" t="n"/>
      <c r="D23" s="188" t="n"/>
      <c r="E23" s="99">
        <f>SUM(E19:E22)</f>
        <v/>
      </c>
      <c r="F23" s="91">
        <f>SUM(F19:F22)</f>
        <v/>
      </c>
      <c r="G23" s="88">
        <f>F23/E23</f>
        <v/>
      </c>
      <c r="H23" s="82">
        <f>SUM(H19:H22)</f>
        <v/>
      </c>
      <c r="I23" s="83">
        <f>SUM(I19:I22)</f>
        <v/>
      </c>
      <c r="J23" s="88">
        <f>I23/H23</f>
        <v/>
      </c>
      <c r="K23" s="83">
        <f>SUM(K19:K22)</f>
        <v/>
      </c>
      <c r="L23" s="83">
        <f>SUM(L19:L22)</f>
        <v/>
      </c>
      <c r="M23" s="88">
        <f>L23/K23</f>
        <v/>
      </c>
      <c r="N23" s="83">
        <f>SUM(N19:N22)</f>
        <v/>
      </c>
      <c r="O23" s="87">
        <f>SUM(O19:O22)</f>
        <v/>
      </c>
      <c r="P23" s="88">
        <f>O23/N23</f>
        <v/>
      </c>
      <c r="Q23" s="115">
        <f>SUM(Q19:Q22)</f>
        <v/>
      </c>
      <c r="R23" s="116">
        <f>SUM(R19:R22)</f>
        <v/>
      </c>
      <c r="S23" s="117">
        <f>R23/Q23</f>
        <v/>
      </c>
      <c r="T23" s="100">
        <f>SUM(T19:T22)</f>
        <v/>
      </c>
      <c r="U23" s="83">
        <f>SUM(U19:U22)</f>
        <v/>
      </c>
      <c r="V23" s="88">
        <f>U23/T23</f>
        <v/>
      </c>
      <c r="W23" s="82">
        <f>SUM(W19:W22)</f>
        <v/>
      </c>
      <c r="X23" s="83">
        <f>SUM(X19:X22)</f>
        <v/>
      </c>
      <c r="Y23" s="101">
        <f>X23/W23</f>
        <v/>
      </c>
      <c r="Z23" s="83">
        <f>SUM(Z19:Z22)</f>
        <v/>
      </c>
      <c r="AA23" s="83">
        <f>SUM(AA19:AA22)</f>
        <v/>
      </c>
      <c r="AB23" s="88">
        <f>AA23/Z23</f>
        <v/>
      </c>
      <c r="AC23" s="83">
        <f>SUM(AC19:AC22)</f>
        <v/>
      </c>
      <c r="AD23" s="83">
        <f>SUM(AD19:AD22)</f>
        <v/>
      </c>
      <c r="AE23" s="88">
        <f>AD23/AC23</f>
        <v/>
      </c>
      <c r="AF23" s="83">
        <f>SUM(AF19:AF22)</f>
        <v/>
      </c>
      <c r="AG23" s="83">
        <f>SUM(AG19:AG22)</f>
        <v/>
      </c>
      <c r="AH23" s="88">
        <f>AG23/AF23</f>
        <v/>
      </c>
      <c r="AI23" s="83">
        <f>SUM(AI19:AI22)</f>
        <v/>
      </c>
      <c r="AJ23" s="83">
        <f>SUM(AJ19:AJ22)</f>
        <v/>
      </c>
      <c r="AK23" s="88">
        <f>AJ23/AI23</f>
        <v/>
      </c>
      <c r="AL23" s="83">
        <f>SUM(AL19:AL22)</f>
        <v/>
      </c>
      <c r="AM23" s="83">
        <f>SUM(AM19:AM22)</f>
        <v/>
      </c>
      <c r="AN23" s="88">
        <f>AM23/AL23</f>
        <v/>
      </c>
      <c r="AO23" s="83">
        <f>SUM(AO19:AO22)</f>
        <v/>
      </c>
      <c r="AP23" s="83">
        <f>SUM(AP19:AP22)</f>
        <v/>
      </c>
      <c r="AQ23" s="88">
        <f>AP23/AO23</f>
        <v/>
      </c>
      <c r="AR23" s="83">
        <f>SUM(AR19:AR22)</f>
        <v/>
      </c>
      <c r="AS23" s="83">
        <f>SUM(AS19:AS22)</f>
        <v/>
      </c>
      <c r="AT23" s="101">
        <f>AS23/AR23</f>
        <v/>
      </c>
      <c r="AU23" s="83">
        <f>SUM(AU19:AU22)</f>
        <v/>
      </c>
      <c r="AV23" s="83">
        <f>SUM(AV19:AV22)</f>
        <v/>
      </c>
      <c r="AW23" s="102">
        <f>AV23/AU23</f>
        <v/>
      </c>
    </row>
    <row r="24" ht="141.75" customFormat="1" customHeight="1" s="181">
      <c r="A24" s="64" t="n"/>
      <c r="O24" s="80" t="n"/>
      <c r="AU24" s="84" t="n"/>
      <c r="AV24" s="84" t="n"/>
      <c r="AW24" s="84" t="n"/>
    </row>
    <row r="25" ht="80.25" customHeight="1" s="154">
      <c r="B25" s="210" t="n"/>
      <c r="C25" s="210" t="n"/>
      <c r="D25" s="210" t="n"/>
      <c r="E25" s="210" t="n"/>
      <c r="G25" s="210" t="n"/>
      <c r="H25" s="210" t="n"/>
      <c r="I25" s="210" t="n"/>
      <c r="J25" s="210" t="n"/>
      <c r="K25" s="210" t="n"/>
      <c r="L25" s="210" t="n"/>
      <c r="M25" s="210" t="n"/>
      <c r="N25" s="210" t="n"/>
      <c r="O25" s="210" t="n"/>
      <c r="P25" s="210" t="n"/>
      <c r="Q25" s="210" t="n"/>
      <c r="R25" s="210" t="n"/>
      <c r="S25" s="210" t="n"/>
      <c r="T25" s="210" t="n"/>
      <c r="U25" s="210" t="n"/>
      <c r="V25" s="210" t="n"/>
      <c r="W25" s="210" t="n"/>
      <c r="X25" s="210" t="n"/>
      <c r="Y25" s="210" t="n"/>
      <c r="Z25" s="210" t="n"/>
      <c r="AA25" s="210" t="n"/>
      <c r="AB25" s="210" t="n"/>
      <c r="AC25" s="210" t="n"/>
      <c r="AD25" s="210" t="n"/>
      <c r="AE25" s="210" t="n"/>
      <c r="AF25" s="210" t="n"/>
      <c r="AG25" s="210" t="n"/>
      <c r="AH25" s="210" t="n"/>
      <c r="AI25" s="210" t="n"/>
      <c r="AJ25" s="210" t="n"/>
      <c r="AK25" s="210" t="n"/>
      <c r="AL25" s="210" t="n"/>
      <c r="AM25" s="210" t="n"/>
      <c r="AN25" s="210" t="n"/>
      <c r="AO25" s="210" t="n"/>
      <c r="AP25" s="210" t="n"/>
      <c r="AQ25" s="210" t="n"/>
      <c r="AR25" s="210" t="n"/>
      <c r="AS25" s="210" t="n"/>
      <c r="AT25" s="210" t="n"/>
      <c r="AU25" s="210" t="n"/>
      <c r="AV25" s="210" t="n"/>
      <c r="AW25" s="210" t="n"/>
    </row>
    <row r="26" ht="20.25" customFormat="1" customHeight="1" s="192">
      <c r="A26" s="54" t="n"/>
      <c r="B26" s="55" t="n"/>
      <c r="E26" s="191" t="n"/>
      <c r="F26" s="191" t="n"/>
      <c r="G26" s="191" t="n"/>
      <c r="H26" s="191" t="n"/>
      <c r="I26" s="211" t="n"/>
      <c r="J26" s="191" t="n"/>
      <c r="K26" s="211" t="n"/>
      <c r="L26" s="191" t="n"/>
      <c r="M26" s="191" t="n"/>
      <c r="N26" s="191" t="n"/>
      <c r="O26" s="191" t="n"/>
      <c r="P26" s="191" t="n"/>
      <c r="Q26" s="191" t="n"/>
      <c r="R26" s="191" t="n"/>
      <c r="S26" s="191" t="n"/>
      <c r="T26" s="191" t="n"/>
      <c r="U26" s="191" t="n"/>
      <c r="V26" s="191" t="n"/>
      <c r="W26" s="191" t="n"/>
      <c r="X26" s="191" t="n"/>
      <c r="Y26" s="211" t="n"/>
      <c r="Z26" s="191" t="n"/>
      <c r="AA26" s="191" t="n"/>
      <c r="AB26" s="191" t="n"/>
      <c r="AC26" s="191" t="n"/>
      <c r="AD26" s="211" t="n"/>
      <c r="AE26" s="191" t="n"/>
      <c r="AF26" s="211" t="n"/>
      <c r="AG26" s="191" t="n"/>
      <c r="AH26" s="191" t="n"/>
      <c r="AI26" s="191" t="n"/>
      <c r="AJ26" s="191" t="n"/>
      <c r="AK26" s="191" t="n"/>
      <c r="AL26" s="191" t="n"/>
      <c r="AM26" s="191" t="n"/>
      <c r="AN26" s="191" t="n"/>
      <c r="AO26" s="191" t="n"/>
      <c r="AP26" s="191" t="n"/>
      <c r="AQ26" s="191" t="n"/>
      <c r="AR26" s="191" t="n"/>
      <c r="AS26" s="191" t="n"/>
      <c r="AT26" s="211" t="n"/>
      <c r="AU26" s="191" t="n"/>
      <c r="AV26" s="191" t="n"/>
      <c r="AW26" s="66" t="n"/>
      <c r="BB26" s="59" t="n"/>
      <c r="BC26" s="59" t="n"/>
      <c r="BD26" s="59" t="n"/>
      <c r="BE26" s="59" t="n"/>
      <c r="BF26" s="59" t="n"/>
      <c r="BG26" s="59" t="n"/>
    </row>
    <row r="27" ht="20.25" customFormat="1" customHeight="1" s="192">
      <c r="A27" s="54" t="n"/>
      <c r="B27" s="55" t="n"/>
      <c r="E27" s="191" t="n"/>
      <c r="F27" s="191" t="n"/>
      <c r="G27" s="191" t="n"/>
      <c r="H27" s="191" t="n"/>
      <c r="I27" s="211" t="n"/>
      <c r="J27" s="191" t="n"/>
      <c r="K27" s="211" t="n"/>
      <c r="L27" s="191" t="n"/>
      <c r="M27" s="191" t="n"/>
      <c r="N27" s="191" t="n"/>
      <c r="O27" s="191" t="n"/>
      <c r="P27" s="191" t="n"/>
      <c r="Q27" s="191" t="n"/>
      <c r="R27" s="191" t="n"/>
      <c r="S27" s="191" t="n"/>
      <c r="T27" s="191" t="n"/>
      <c r="U27" s="191" t="n"/>
      <c r="V27" s="191" t="n"/>
      <c r="W27" s="191" t="n"/>
      <c r="X27" s="191" t="n"/>
      <c r="Y27" s="211" t="n"/>
      <c r="Z27" s="191" t="n"/>
      <c r="AA27" s="191" t="n"/>
      <c r="AB27" s="191" t="n"/>
      <c r="AC27" s="191" t="n"/>
      <c r="AD27" s="211" t="n"/>
      <c r="AE27" s="191" t="n"/>
      <c r="AF27" s="211" t="n"/>
      <c r="AG27" s="191" t="n"/>
      <c r="AH27" s="191" t="n"/>
      <c r="AI27" s="191" t="n"/>
      <c r="AJ27" s="191" t="n"/>
      <c r="AK27" s="191" t="n"/>
      <c r="AL27" s="191" t="n"/>
      <c r="AM27" s="191" t="n"/>
      <c r="AN27" s="191" t="n"/>
      <c r="AO27" s="191" t="n"/>
      <c r="AP27" s="191" t="n"/>
      <c r="AQ27" s="191" t="n"/>
      <c r="AR27" s="191" t="n"/>
      <c r="AS27" s="191" t="n"/>
      <c r="AT27" s="211" t="n"/>
      <c r="AU27" s="191" t="n"/>
      <c r="AV27" s="191" t="n"/>
      <c r="AW27" s="66" t="n"/>
      <c r="BB27" s="59" t="n"/>
      <c r="BC27" s="59" t="n"/>
      <c r="BD27" s="59" t="n"/>
      <c r="BE27" s="59" t="n"/>
      <c r="BF27" s="59" t="n"/>
      <c r="BG27" s="59" t="n"/>
    </row>
    <row r="28" ht="20.25" customFormat="1" customHeight="1" s="192">
      <c r="A28" s="54" t="n"/>
      <c r="B28" s="55" t="n"/>
      <c r="E28" s="191" t="n"/>
      <c r="F28" s="191" t="n"/>
      <c r="G28" s="191" t="n"/>
      <c r="H28" s="191" t="n"/>
      <c r="I28" s="211" t="n"/>
      <c r="J28" s="191" t="n"/>
      <c r="K28" s="211" t="n"/>
      <c r="L28" s="211" t="n"/>
      <c r="M28" s="191" t="n"/>
      <c r="N28" s="211" t="n"/>
      <c r="O28" s="211" t="n"/>
      <c r="P28" s="191" t="n"/>
      <c r="Q28" s="211" t="n"/>
      <c r="R28" s="211" t="n"/>
      <c r="S28" s="191" t="n"/>
      <c r="T28" s="211" t="n"/>
      <c r="U28" s="211" t="n"/>
      <c r="V28" s="191" t="n"/>
      <c r="W28" s="211" t="n"/>
      <c r="X28" s="211" t="n"/>
      <c r="Y28" s="211" t="n"/>
      <c r="Z28" s="191" t="n"/>
      <c r="AA28" s="191" t="n"/>
      <c r="AB28" s="191" t="n"/>
      <c r="AC28" s="191" t="n"/>
      <c r="AD28" s="211" t="n"/>
      <c r="AE28" s="191" t="n"/>
      <c r="AF28" s="211" t="n"/>
      <c r="AG28" s="211" t="n"/>
      <c r="AH28" s="191" t="n"/>
      <c r="AI28" s="211" t="n"/>
      <c r="AJ28" s="211" t="n"/>
      <c r="AK28" s="191" t="n"/>
      <c r="AL28" s="211" t="n"/>
      <c r="AM28" s="211" t="n"/>
      <c r="AN28" s="191" t="n"/>
      <c r="AO28" s="211" t="n"/>
      <c r="AP28" s="211" t="n"/>
      <c r="AQ28" s="191" t="n"/>
      <c r="AR28" s="211" t="n"/>
      <c r="AS28" s="211" t="n"/>
      <c r="AT28" s="211" t="n"/>
      <c r="AU28" s="211" t="n"/>
      <c r="AV28" s="211" t="n"/>
      <c r="AW28" s="66" t="n"/>
      <c r="BB28" s="59" t="n"/>
      <c r="BC28" s="59" t="n"/>
      <c r="BD28" s="59" t="n"/>
      <c r="BE28" s="59" t="n"/>
      <c r="BF28" s="59" t="n"/>
      <c r="BG28" s="59" t="n"/>
    </row>
    <row r="29" ht="20.25" customFormat="1" customHeight="1" s="192">
      <c r="A29" s="54" t="n"/>
      <c r="B29" s="55" t="n"/>
      <c r="C29" s="56" t="n"/>
      <c r="D29" s="56" t="n"/>
      <c r="E29" s="211" t="n"/>
      <c r="F29" s="211" t="n"/>
      <c r="G29" s="211" t="n"/>
      <c r="H29" s="211" t="n"/>
      <c r="I29" s="211" t="n"/>
      <c r="J29" s="211" t="n"/>
      <c r="K29" s="211" t="n"/>
      <c r="L29" s="211" t="n"/>
      <c r="M29" s="211" t="n"/>
      <c r="N29" s="211" t="n"/>
      <c r="O29" s="211" t="n"/>
      <c r="P29" s="211" t="n"/>
      <c r="Q29" s="211" t="n"/>
      <c r="R29" s="211" t="n"/>
      <c r="S29" s="211" t="n"/>
      <c r="T29" s="211" t="n"/>
      <c r="U29" s="211" t="n"/>
      <c r="V29" s="211" t="n"/>
      <c r="W29" s="211" t="n"/>
      <c r="X29" s="211" t="n"/>
      <c r="Y29" s="211" t="n"/>
      <c r="Z29" s="211" t="n"/>
      <c r="AA29" s="211" t="n"/>
      <c r="AB29" s="211" t="n"/>
      <c r="AC29" s="211" t="n"/>
      <c r="AD29" s="211" t="n"/>
      <c r="AE29" s="211" t="n"/>
      <c r="AF29" s="211" t="n"/>
      <c r="AG29" s="211" t="n"/>
      <c r="AH29" s="211" t="n"/>
      <c r="AI29" s="211" t="n"/>
      <c r="AJ29" s="211" t="n"/>
      <c r="AK29" s="211" t="n"/>
      <c r="AL29" s="211" t="n"/>
      <c r="AM29" s="211" t="n"/>
      <c r="AN29" s="211" t="n"/>
      <c r="AO29" s="211" t="n"/>
      <c r="AP29" s="211" t="n"/>
      <c r="AQ29" s="211" t="n"/>
      <c r="AR29" s="211" t="n"/>
      <c r="AS29" s="211" t="n"/>
      <c r="AT29" s="211" t="n"/>
      <c r="AU29" s="211" t="n"/>
      <c r="AV29" s="211" t="n"/>
      <c r="AW29" s="66" t="n"/>
      <c r="BB29" s="59" t="n"/>
      <c r="BC29" s="59" t="n"/>
      <c r="BD29" s="59" t="n"/>
      <c r="BE29" s="59" t="n"/>
      <c r="BF29" s="59" t="n"/>
      <c r="BG29" s="59" t="n"/>
    </row>
    <row r="30" ht="20.25" customFormat="1" customHeight="1" s="192">
      <c r="A30" s="54" t="n"/>
      <c r="B30" s="55" t="n"/>
      <c r="C30" s="56" t="n"/>
      <c r="D30" s="56" t="n"/>
      <c r="E30" s="211" t="n"/>
      <c r="F30" s="211" t="n"/>
      <c r="G30" s="211" t="n"/>
      <c r="H30" s="211" t="n"/>
      <c r="I30" s="211" t="n"/>
      <c r="J30" s="211" t="n"/>
      <c r="K30" s="211" t="n"/>
      <c r="L30" s="191" t="n"/>
      <c r="M30" s="211" t="n"/>
      <c r="N30" s="211" t="n"/>
      <c r="O30" s="211" t="n"/>
      <c r="P30" s="211" t="n"/>
      <c r="Q30" s="211" t="n"/>
      <c r="R30" s="211" t="n"/>
      <c r="S30" s="211" t="n"/>
      <c r="T30" s="211" t="n"/>
      <c r="U30" s="211" t="n"/>
      <c r="V30" s="211" t="n"/>
      <c r="W30" s="211" t="n"/>
      <c r="X30" s="211" t="n"/>
      <c r="Y30" s="211" t="n"/>
      <c r="Z30" s="211" t="n"/>
      <c r="AA30" s="211" t="n"/>
      <c r="AB30" s="211" t="n"/>
      <c r="AC30" s="211" t="n"/>
      <c r="AD30" s="211" t="n"/>
      <c r="AE30" s="211" t="n"/>
      <c r="AF30" s="211" t="n"/>
      <c r="AG30" s="191" t="n"/>
      <c r="AH30" s="211" t="n"/>
      <c r="AI30" s="211" t="n"/>
      <c r="AJ30" s="211" t="n"/>
      <c r="AK30" s="211" t="n"/>
      <c r="AL30" s="211" t="n"/>
      <c r="AM30" s="211" t="n"/>
      <c r="AN30" s="211" t="n"/>
      <c r="AO30" s="211" t="n"/>
      <c r="AP30" s="211" t="n"/>
      <c r="AQ30" s="211" t="n"/>
      <c r="AR30" s="211" t="n"/>
      <c r="AS30" s="211" t="n"/>
      <c r="AT30" s="211" t="n"/>
      <c r="AU30" s="211" t="n"/>
      <c r="AV30" s="211" t="n"/>
      <c r="AW30" s="66" t="n"/>
      <c r="BB30" s="59" t="n"/>
      <c r="BC30" s="59" t="n"/>
      <c r="BD30" s="59" t="n"/>
      <c r="BE30" s="59" t="n"/>
      <c r="BF30" s="59" t="n"/>
      <c r="BG30" s="59" t="n"/>
    </row>
    <row r="31" ht="20.25" customFormat="1" customHeight="1" s="192">
      <c r="A31" s="54" t="n"/>
      <c r="B31" s="55" t="n"/>
      <c r="C31" s="56" t="n"/>
      <c r="D31" s="56" t="n"/>
      <c r="E31" s="211" t="n"/>
      <c r="F31" s="211" t="n"/>
      <c r="G31" s="211" t="n"/>
      <c r="H31" s="211" t="n"/>
      <c r="I31" s="211" t="n"/>
      <c r="J31" s="211" t="n"/>
      <c r="K31" s="211" t="n"/>
      <c r="L31" s="211" t="n"/>
      <c r="M31" s="211" t="n"/>
      <c r="N31" s="211" t="n"/>
      <c r="O31" s="211" t="n"/>
      <c r="P31" s="211" t="n"/>
      <c r="Q31" s="211" t="n"/>
      <c r="R31" s="211" t="n"/>
      <c r="S31" s="211" t="n"/>
      <c r="T31" s="211" t="n"/>
      <c r="U31" s="211" t="n"/>
      <c r="V31" s="211" t="n"/>
      <c r="W31" s="211" t="n"/>
      <c r="X31" s="211" t="n"/>
      <c r="Y31" s="211" t="n"/>
      <c r="Z31" s="211" t="n"/>
      <c r="AA31" s="211" t="n"/>
      <c r="AB31" s="211" t="n"/>
      <c r="AC31" s="211" t="n"/>
      <c r="AD31" s="211" t="n"/>
      <c r="AE31" s="211" t="n"/>
      <c r="AF31" s="211" t="n"/>
      <c r="AG31" s="211" t="n"/>
      <c r="AH31" s="211" t="n"/>
      <c r="AI31" s="211" t="n"/>
      <c r="AJ31" s="211" t="n"/>
      <c r="AK31" s="211" t="n"/>
      <c r="AL31" s="211" t="n"/>
      <c r="AM31" s="211" t="n"/>
      <c r="AN31" s="211" t="n"/>
      <c r="AO31" s="211" t="n"/>
      <c r="AP31" s="211" t="n"/>
      <c r="AQ31" s="211" t="n"/>
      <c r="AR31" s="211" t="n"/>
      <c r="AS31" s="211" t="n"/>
      <c r="AT31" s="211" t="n"/>
      <c r="AU31" s="211" t="n"/>
      <c r="AV31" s="211" t="n"/>
      <c r="AW31" s="66" t="n"/>
      <c r="BB31" s="59" t="n"/>
      <c r="BC31" s="59" t="n"/>
      <c r="BD31" s="59" t="n"/>
      <c r="BE31" s="59" t="n"/>
      <c r="BF31" s="59" t="n"/>
      <c r="BG31" s="59" t="n"/>
    </row>
    <row r="32" ht="20.25" customFormat="1" customHeight="1" s="192">
      <c r="A32" s="54" t="n"/>
      <c r="B32" s="55" t="n"/>
      <c r="C32" s="56" t="n"/>
      <c r="D32" s="56" t="n"/>
      <c r="E32" s="211" t="n"/>
      <c r="F32" s="211" t="n"/>
      <c r="G32" s="211" t="n"/>
      <c r="H32" s="211" t="n"/>
      <c r="I32" s="211" t="n"/>
      <c r="J32" s="211" t="n"/>
      <c r="K32" s="211" t="n"/>
      <c r="L32" s="211" t="n"/>
      <c r="M32" s="211" t="n"/>
      <c r="N32" s="211" t="n"/>
      <c r="O32" s="211" t="n"/>
      <c r="P32" s="211" t="n"/>
      <c r="Q32" s="211" t="n"/>
      <c r="R32" s="211" t="n"/>
      <c r="S32" s="211" t="n"/>
      <c r="T32" s="211" t="n"/>
      <c r="U32" s="211" t="n"/>
      <c r="V32" s="211" t="n"/>
      <c r="W32" s="211" t="n"/>
      <c r="X32" s="211" t="n"/>
      <c r="Y32" s="211" t="n"/>
      <c r="Z32" s="211" t="n"/>
      <c r="AA32" s="211" t="n"/>
      <c r="AB32" s="211" t="n"/>
      <c r="AC32" s="211" t="n"/>
      <c r="AD32" s="211" t="n"/>
      <c r="AE32" s="211" t="n"/>
      <c r="AF32" s="211" t="n"/>
      <c r="AG32" s="211" t="n"/>
      <c r="AH32" s="211" t="n"/>
      <c r="AI32" s="211" t="n"/>
      <c r="AJ32" s="211" t="n"/>
      <c r="AK32" s="211" t="n"/>
      <c r="AL32" s="211" t="n"/>
      <c r="AM32" s="211" t="n"/>
      <c r="AN32" s="211" t="n"/>
      <c r="AO32" s="211" t="n"/>
      <c r="AP32" s="211" t="n"/>
      <c r="AQ32" s="211" t="n"/>
      <c r="AR32" s="211" t="n"/>
      <c r="AS32" s="211" t="n"/>
      <c r="AT32" s="211" t="n"/>
      <c r="AU32" s="211" t="n"/>
      <c r="AV32" s="211" t="n"/>
      <c r="AW32" s="66" t="n"/>
      <c r="BB32" s="59" t="n"/>
      <c r="BC32" s="59" t="n"/>
      <c r="BD32" s="59" t="n"/>
      <c r="BE32" s="59" t="n"/>
      <c r="BF32" s="59" t="n"/>
      <c r="BG32" s="59" t="n"/>
    </row>
  </sheetData>
  <mergeCells count="44">
    <mergeCell ref="A2:D2"/>
    <mergeCell ref="AY2:AZ2"/>
    <mergeCell ref="B3:D3"/>
    <mergeCell ref="AX3:AY3"/>
    <mergeCell ref="B4:D4"/>
    <mergeCell ref="E4:G4"/>
    <mergeCell ref="H4:J4"/>
    <mergeCell ref="K4:M4"/>
    <mergeCell ref="N4:P4"/>
    <mergeCell ref="Q4:S4"/>
    <mergeCell ref="AX4:AY4"/>
    <mergeCell ref="AF4:AH4"/>
    <mergeCell ref="AI4:AK4"/>
    <mergeCell ref="AL4:AN4"/>
    <mergeCell ref="AO4:AQ4"/>
    <mergeCell ref="AR4:AT4"/>
    <mergeCell ref="AU4:AW4"/>
    <mergeCell ref="B6:D6"/>
    <mergeCell ref="Z4:AB4"/>
    <mergeCell ref="AC4:AE4"/>
    <mergeCell ref="AX8:AX9"/>
    <mergeCell ref="B9:D9"/>
    <mergeCell ref="B7:D7"/>
    <mergeCell ref="B8:D8"/>
    <mergeCell ref="B5:D5"/>
    <mergeCell ref="T4:V4"/>
    <mergeCell ref="W4:Y4"/>
    <mergeCell ref="B11:D11"/>
    <mergeCell ref="B12:D12"/>
    <mergeCell ref="AX12:AY12"/>
    <mergeCell ref="B10:D10"/>
    <mergeCell ref="B13:D13"/>
    <mergeCell ref="B14:D14"/>
    <mergeCell ref="AX14:AX16"/>
    <mergeCell ref="B15:D15"/>
    <mergeCell ref="B16:D16"/>
    <mergeCell ref="B23:D23"/>
    <mergeCell ref="E25:F25"/>
    <mergeCell ref="B17:D17"/>
    <mergeCell ref="B18:D18"/>
    <mergeCell ref="B19:D19"/>
    <mergeCell ref="B20:D20"/>
    <mergeCell ref="B21:D21"/>
    <mergeCell ref="B22:D22"/>
  </mergeCells>
  <printOptions horizontalCentered="1"/>
  <pageMargins left="0.25" right="0.25" top="0.75" bottom="0.75" header="0.3" footer="0.3"/>
  <pageSetup orientation="landscape" paperSize="8" scale="22"/>
  <headerFooter>
    <oddHeader>&amp;R&amp;"HG丸ｺﾞｼｯｸM-PRO,標準"&amp;14 ＳＨＣ</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tabColor rgb="FF7030A0"/>
    <outlinePr summaryBelow="1" summaryRight="1"/>
    <pageSetUpPr fitToPage="1"/>
  </sheetPr>
  <dimension ref="A1:BG32"/>
  <sheetViews>
    <sheetView showGridLines="0" view="pageBreakPreview" topLeftCell="B1" zoomScale="34" zoomScaleNormal="100" zoomScaleSheetLayoutView="34" zoomScalePageLayoutView="80" workbookViewId="0">
      <pane xSplit="3" ySplit="6" topLeftCell="E19" activePane="bottomRight" state="frozen"/>
      <selection activeCell="B1" sqref="B1"/>
      <selection pane="topRight" activeCell="E1" sqref="E1"/>
      <selection pane="bottomLeft" activeCell="B6" sqref="B6"/>
      <selection pane="bottomRight" activeCell="R21" sqref="R21"/>
    </sheetView>
  </sheetViews>
  <sheetFormatPr baseColWidth="8" defaultColWidth="9" defaultRowHeight="20.25" customHeight="1" outlineLevelRow="1"/>
  <cols>
    <col width="9" customWidth="1" style="54" min="1" max="1"/>
    <col width="20.59765625" customWidth="1" style="55" min="2" max="2"/>
    <col width="20.59765625" customWidth="1" style="56" min="3" max="4"/>
    <col width="18.265625" customWidth="1" style="211" min="5" max="8"/>
    <col width="16.1328125" customWidth="1" style="211" min="9" max="9"/>
    <col width="18.265625" customWidth="1" style="211" min="10" max="22"/>
    <col width="23.33203125" bestFit="1" customWidth="1" style="211" min="23" max="23"/>
    <col width="18.265625" customWidth="1" style="211" min="24" max="43"/>
    <col width="23.33203125" bestFit="1" customWidth="1" style="211" min="44" max="44"/>
    <col width="18.265625" customWidth="1" style="211" min="45" max="46"/>
    <col width="23.33203125" bestFit="1" customWidth="1" style="211" min="47" max="47"/>
    <col width="18.265625" customWidth="1" style="211" min="48" max="48"/>
    <col width="18.265625" customWidth="1" style="66" min="49" max="49"/>
    <col width="10.06640625" customWidth="1" style="192" min="50" max="51"/>
    <col width="12.33203125" customWidth="1" style="192" min="52" max="52"/>
    <col width="2.33203125" customWidth="1" style="192" min="53" max="53"/>
    <col width="9" customWidth="1" style="59" min="54" max="58"/>
    <col width="25.796875" customWidth="1" style="59" min="59" max="59"/>
    <col width="9" customWidth="1" style="59" min="60" max="61"/>
    <col width="9" customWidth="1" style="59" min="62" max="16384"/>
  </cols>
  <sheetData>
    <row r="1" ht="20.25" customHeight="1" s="154">
      <c r="AW1" s="211" t="n"/>
    </row>
    <row r="2" ht="80.25" customFormat="1" customHeight="1" s="181">
      <c r="A2" s="180" t="inlineStr">
        <is>
          <t>2025年通期</t>
        </is>
      </c>
      <c r="E2" s="60" t="n"/>
      <c r="F2" s="60" t="n"/>
      <c r="G2" s="60" t="n"/>
      <c r="H2" s="60" t="n"/>
      <c r="I2" s="60" t="n"/>
      <c r="J2" s="60" t="n"/>
      <c r="K2" s="60" t="n"/>
      <c r="L2" s="60" t="n"/>
      <c r="M2" s="60" t="n"/>
      <c r="N2" s="60" t="n"/>
      <c r="O2" s="60" t="n"/>
      <c r="P2" s="60" t="n"/>
      <c r="Q2" s="60" t="n"/>
      <c r="R2" s="60" t="n"/>
      <c r="S2" s="60" t="n"/>
      <c r="T2" s="60" t="n"/>
      <c r="U2" s="60" t="n"/>
      <c r="V2" s="60" t="n"/>
      <c r="W2" s="60" t="n"/>
      <c r="X2" s="60" t="n"/>
      <c r="Y2" s="60" t="n"/>
      <c r="Z2" s="60" t="n"/>
      <c r="AA2" s="60" t="n"/>
      <c r="AB2" s="60" t="n"/>
      <c r="AC2" s="60" t="n"/>
      <c r="AD2" s="60" t="n"/>
      <c r="AE2" s="60" t="n"/>
      <c r="AF2" s="60" t="n"/>
      <c r="AG2" s="60" t="n"/>
      <c r="AH2" s="60" t="n"/>
      <c r="AI2" s="60" t="n"/>
      <c r="AJ2" s="60" t="n"/>
      <c r="AK2" s="60" t="n"/>
      <c r="AL2" s="60" t="n"/>
      <c r="AM2" s="60" t="n"/>
      <c r="AN2" s="60" t="n"/>
      <c r="AO2" s="60" t="n"/>
      <c r="AP2" s="60" t="n"/>
      <c r="AQ2" s="60" t="n"/>
      <c r="AR2" s="60" t="n"/>
      <c r="AS2" s="60" t="n"/>
      <c r="AT2" s="60" t="n"/>
      <c r="AU2" s="60" t="n"/>
      <c r="AV2" s="60" t="n"/>
      <c r="AW2" s="60" t="n"/>
      <c r="AX2" s="61" t="n"/>
      <c r="AY2" s="182" t="n"/>
      <c r="BA2" s="62" t="n"/>
    </row>
    <row r="3" ht="80.25" customFormat="1" customHeight="1" s="181">
      <c r="A3" s="64" t="n"/>
      <c r="B3" s="183" t="inlineStr">
        <is>
          <t>紹介状況・目標</t>
        </is>
      </c>
      <c r="C3" s="184" t="n"/>
      <c r="D3" s="184" t="n"/>
      <c r="E3" s="60" t="n"/>
      <c r="F3" s="60" t="n"/>
      <c r="G3" s="60" t="n"/>
      <c r="H3" s="60" t="n"/>
      <c r="I3" s="60" t="n"/>
      <c r="J3" s="60" t="n"/>
      <c r="K3" s="60" t="n"/>
      <c r="L3" s="60" t="n"/>
      <c r="M3" s="60" t="n"/>
      <c r="N3" s="60" t="n"/>
      <c r="O3" s="60" t="n"/>
      <c r="P3" s="60" t="n"/>
      <c r="Q3" s="60" t="n"/>
      <c r="R3" s="60" t="n"/>
      <c r="S3" s="60" t="n"/>
      <c r="T3" s="60" t="n"/>
      <c r="U3" s="60" t="n"/>
      <c r="V3" s="60" t="n"/>
      <c r="W3" s="60" t="n"/>
      <c r="X3" s="60" t="n"/>
      <c r="Y3" s="60" t="n"/>
      <c r="Z3" s="60" t="n"/>
      <c r="AA3" s="60" t="n"/>
      <c r="AB3" s="60" t="n"/>
      <c r="AC3" s="60" t="n"/>
      <c r="AD3" s="60" t="n"/>
      <c r="AE3" s="60" t="n"/>
      <c r="AF3" s="60" t="n"/>
      <c r="AG3" s="60" t="n"/>
      <c r="AH3" s="60" t="n"/>
      <c r="AI3" s="60" t="n"/>
      <c r="AJ3" s="60" t="n"/>
      <c r="AK3" s="60" t="n"/>
      <c r="AL3" s="60" t="n"/>
      <c r="AM3" s="60" t="n"/>
      <c r="AN3" s="60" t="n"/>
      <c r="AO3" s="60" t="n"/>
      <c r="AP3" s="60" t="n"/>
      <c r="AQ3" s="60" t="n"/>
      <c r="AR3" s="60" t="n"/>
      <c r="AS3" s="60" t="n"/>
      <c r="AT3" s="60" t="n"/>
      <c r="AU3" s="60" t="n"/>
      <c r="AV3" s="60" t="n"/>
      <c r="AW3" s="60" t="inlineStr">
        <is>
          <t>単位(千円）</t>
        </is>
      </c>
      <c r="AX3" s="185" t="n"/>
    </row>
    <row r="4" ht="76.05" customHeight="1" s="154">
      <c r="B4" s="186" t="n"/>
      <c r="C4" s="187" t="n"/>
      <c r="D4" s="188" t="n"/>
      <c r="E4" s="189" t="inlineStr">
        <is>
          <t>４月</t>
        </is>
      </c>
      <c r="F4" s="187" t="n"/>
      <c r="G4" s="190" t="n"/>
      <c r="H4" s="189" t="inlineStr">
        <is>
          <t>5月</t>
        </is>
      </c>
      <c r="I4" s="187" t="n"/>
      <c r="J4" s="190" t="n"/>
      <c r="K4" s="189" t="inlineStr">
        <is>
          <t>6月</t>
        </is>
      </c>
      <c r="L4" s="187" t="n"/>
      <c r="M4" s="190" t="n"/>
      <c r="N4" s="189" t="inlineStr">
        <is>
          <t>7月</t>
        </is>
      </c>
      <c r="O4" s="187" t="n"/>
      <c r="P4" s="190" t="n"/>
      <c r="Q4" s="189" t="inlineStr">
        <is>
          <t>8月</t>
        </is>
      </c>
      <c r="R4" s="187" t="n"/>
      <c r="S4" s="190" t="n"/>
      <c r="T4" s="189" t="inlineStr">
        <is>
          <t>9月</t>
        </is>
      </c>
      <c r="U4" s="187" t="n"/>
      <c r="V4" s="190" t="n"/>
      <c r="W4" s="193" t="inlineStr">
        <is>
          <t xml:space="preserve">上期 </t>
        </is>
      </c>
      <c r="X4" s="187" t="n"/>
      <c r="Y4" s="190" t="n"/>
      <c r="Z4" s="189" t="inlineStr">
        <is>
          <t>10月</t>
        </is>
      </c>
      <c r="AA4" s="187" t="n"/>
      <c r="AB4" s="190" t="n"/>
      <c r="AC4" s="189" t="inlineStr">
        <is>
          <t>11月</t>
        </is>
      </c>
      <c r="AD4" s="187" t="n"/>
      <c r="AE4" s="190" t="n"/>
      <c r="AF4" s="189" t="inlineStr">
        <is>
          <t>12月</t>
        </is>
      </c>
      <c r="AG4" s="187" t="n"/>
      <c r="AH4" s="190" t="n"/>
      <c r="AI4" s="189" t="inlineStr">
        <is>
          <t>1月</t>
        </is>
      </c>
      <c r="AJ4" s="187" t="n"/>
      <c r="AK4" s="190" t="n"/>
      <c r="AL4" s="189" t="inlineStr">
        <is>
          <t>2月</t>
        </is>
      </c>
      <c r="AM4" s="187" t="n"/>
      <c r="AN4" s="190" t="n"/>
      <c r="AO4" s="189" t="inlineStr">
        <is>
          <t>3月</t>
        </is>
      </c>
      <c r="AP4" s="187" t="n"/>
      <c r="AQ4" s="190" t="n"/>
      <c r="AR4" s="193" t="inlineStr">
        <is>
          <t>下期</t>
        </is>
      </c>
      <c r="AS4" s="187" t="n"/>
      <c r="AT4" s="190" t="n"/>
      <c r="AU4" s="219" t="inlineStr">
        <is>
          <t>総合計</t>
        </is>
      </c>
      <c r="AV4" s="187" t="n"/>
      <c r="AW4" s="190" t="n"/>
      <c r="AX4" s="191" t="n"/>
      <c r="AZ4" s="191" t="n"/>
      <c r="BA4" s="191" t="n"/>
    </row>
    <row r="5" ht="88.5" customHeight="1" s="154">
      <c r="B5" s="204" t="n"/>
      <c r="C5" s="187" t="n"/>
      <c r="D5" s="190" t="n"/>
      <c r="E5" s="94" t="inlineStr">
        <is>
          <t>目標</t>
        </is>
      </c>
      <c r="F5" s="95" t="inlineStr">
        <is>
          <t>実績</t>
        </is>
      </c>
      <c r="G5" s="96" t="inlineStr">
        <is>
          <t>達成率</t>
        </is>
      </c>
      <c r="H5" s="94" t="inlineStr">
        <is>
          <t>目標</t>
        </is>
      </c>
      <c r="I5" s="95" t="inlineStr">
        <is>
          <t>実績</t>
        </is>
      </c>
      <c r="J5" s="96" t="inlineStr">
        <is>
          <t>達成率</t>
        </is>
      </c>
      <c r="K5" s="94" t="inlineStr">
        <is>
          <t>目標</t>
        </is>
      </c>
      <c r="L5" s="95" t="inlineStr">
        <is>
          <t>実績</t>
        </is>
      </c>
      <c r="M5" s="96" t="inlineStr">
        <is>
          <t>達成率</t>
        </is>
      </c>
      <c r="N5" s="94" t="inlineStr">
        <is>
          <t>目標</t>
        </is>
      </c>
      <c r="O5" s="95" t="inlineStr">
        <is>
          <t>実績</t>
        </is>
      </c>
      <c r="P5" s="96" t="inlineStr">
        <is>
          <t>達成率</t>
        </is>
      </c>
      <c r="Q5" s="94" t="inlineStr">
        <is>
          <t>目標</t>
        </is>
      </c>
      <c r="R5" s="95" t="inlineStr">
        <is>
          <t>実績</t>
        </is>
      </c>
      <c r="S5" s="96" t="inlineStr">
        <is>
          <t>達成率</t>
        </is>
      </c>
      <c r="T5" s="94" t="inlineStr">
        <is>
          <t>目標</t>
        </is>
      </c>
      <c r="U5" s="95" t="inlineStr">
        <is>
          <t>実績</t>
        </is>
      </c>
      <c r="V5" s="96" t="inlineStr">
        <is>
          <t>達成率</t>
        </is>
      </c>
      <c r="W5" s="94" t="inlineStr">
        <is>
          <t>目標</t>
        </is>
      </c>
      <c r="X5" s="95" t="inlineStr">
        <is>
          <t>実績</t>
        </is>
      </c>
      <c r="Y5" s="96" t="inlineStr">
        <is>
          <t>達成率</t>
        </is>
      </c>
      <c r="Z5" s="94" t="inlineStr">
        <is>
          <t>目標</t>
        </is>
      </c>
      <c r="AA5" s="95" t="inlineStr">
        <is>
          <t>実績</t>
        </is>
      </c>
      <c r="AB5" s="96" t="inlineStr">
        <is>
          <t>達成率</t>
        </is>
      </c>
      <c r="AC5" s="94" t="inlineStr">
        <is>
          <t>目標</t>
        </is>
      </c>
      <c r="AD5" s="95" t="inlineStr">
        <is>
          <t>実績</t>
        </is>
      </c>
      <c r="AE5" s="96" t="inlineStr">
        <is>
          <t>達成率</t>
        </is>
      </c>
      <c r="AF5" s="94" t="inlineStr">
        <is>
          <t>目標</t>
        </is>
      </c>
      <c r="AG5" s="95" t="inlineStr">
        <is>
          <t>実績</t>
        </is>
      </c>
      <c r="AH5" s="96" t="inlineStr">
        <is>
          <t>達成率</t>
        </is>
      </c>
      <c r="AI5" s="94" t="inlineStr">
        <is>
          <t>目標</t>
        </is>
      </c>
      <c r="AJ5" s="95" t="inlineStr">
        <is>
          <t>実績</t>
        </is>
      </c>
      <c r="AK5" s="96" t="inlineStr">
        <is>
          <t>達成率</t>
        </is>
      </c>
      <c r="AL5" s="94" t="inlineStr">
        <is>
          <t>目標</t>
        </is>
      </c>
      <c r="AM5" s="95" t="inlineStr">
        <is>
          <t>実績</t>
        </is>
      </c>
      <c r="AN5" s="96" t="inlineStr">
        <is>
          <t>達成率</t>
        </is>
      </c>
      <c r="AO5" s="94" t="inlineStr">
        <is>
          <t>目標</t>
        </is>
      </c>
      <c r="AP5" s="95" t="inlineStr">
        <is>
          <t>実績</t>
        </is>
      </c>
      <c r="AQ5" s="96" t="inlineStr">
        <is>
          <t>達成率</t>
        </is>
      </c>
      <c r="AR5" s="94" t="inlineStr">
        <is>
          <t>目標</t>
        </is>
      </c>
      <c r="AS5" s="95" t="inlineStr">
        <is>
          <t>実績</t>
        </is>
      </c>
      <c r="AT5" s="96" t="inlineStr">
        <is>
          <t>達成率</t>
        </is>
      </c>
      <c r="AU5" s="94" t="inlineStr">
        <is>
          <t>目標</t>
        </is>
      </c>
      <c r="AV5" s="95" t="inlineStr">
        <is>
          <t>実績</t>
        </is>
      </c>
      <c r="AW5" s="96" t="inlineStr">
        <is>
          <t>達成率</t>
        </is>
      </c>
      <c r="AX5" s="191" t="n"/>
      <c r="AY5" s="191" t="n"/>
      <c r="AZ5" s="191" t="n"/>
      <c r="BA5" s="191" t="n"/>
    </row>
    <row r="6" ht="99" customHeight="1" s="154">
      <c r="B6" s="220" t="inlineStr">
        <is>
          <t>総合計</t>
        </is>
      </c>
      <c r="C6" s="187" t="n"/>
      <c r="D6" s="188" t="n"/>
      <c r="E6" s="89">
        <f>E12+E17+E23</f>
        <v/>
      </c>
      <c r="F6" s="90">
        <f>F12+F17+F23</f>
        <v/>
      </c>
      <c r="G6" s="85">
        <f>F6/E6</f>
        <v/>
      </c>
      <c r="H6" s="79">
        <f>H12+H17+H23</f>
        <v/>
      </c>
      <c r="I6" s="78">
        <f>I12+I17+I23</f>
        <v/>
      </c>
      <c r="J6" s="85">
        <f>I6/H6</f>
        <v/>
      </c>
      <c r="K6" s="78">
        <f>K12+K17+K23</f>
        <v/>
      </c>
      <c r="L6" s="78">
        <f>L12+L17+L23</f>
        <v/>
      </c>
      <c r="M6" s="85">
        <f>L6/K6</f>
        <v/>
      </c>
      <c r="N6" s="78">
        <f>N12+N17+N23</f>
        <v/>
      </c>
      <c r="O6" s="78">
        <f>O12+O17+O23</f>
        <v/>
      </c>
      <c r="P6" s="85">
        <f>O6/N6</f>
        <v/>
      </c>
      <c r="Q6" s="78">
        <f>Q12+Q17+Q23</f>
        <v/>
      </c>
      <c r="R6" s="78">
        <f>R12+R17+R23</f>
        <v/>
      </c>
      <c r="S6" s="85">
        <f>R6/Q6</f>
        <v/>
      </c>
      <c r="T6" s="78">
        <f>T12+T17+T23</f>
        <v/>
      </c>
      <c r="U6" s="78">
        <f>U12+U17+U23</f>
        <v/>
      </c>
      <c r="V6" s="85">
        <f>U6/T6</f>
        <v/>
      </c>
      <c r="W6" s="78">
        <f>W12+W17+W23</f>
        <v/>
      </c>
      <c r="X6" s="78">
        <f>X12+X17+X23</f>
        <v/>
      </c>
      <c r="Y6" s="85">
        <f>X6/W6</f>
        <v/>
      </c>
      <c r="Z6" s="78">
        <f>Z12+Z17+Z23</f>
        <v/>
      </c>
      <c r="AA6" s="78">
        <f>AA12+AA17+AA23</f>
        <v/>
      </c>
      <c r="AB6" s="85">
        <f>AA6/Z6</f>
        <v/>
      </c>
      <c r="AC6" s="78">
        <f>AC12+AC17+AC23</f>
        <v/>
      </c>
      <c r="AD6" s="78">
        <f>AD12+AD17+AD23</f>
        <v/>
      </c>
      <c r="AE6" s="85">
        <f>AD6/AC6</f>
        <v/>
      </c>
      <c r="AF6" s="78">
        <f>AF12+AF17+AF23</f>
        <v/>
      </c>
      <c r="AG6" s="78">
        <f>AG12+AG17+AG23</f>
        <v/>
      </c>
      <c r="AH6" s="85">
        <f>AG6/AF6</f>
        <v/>
      </c>
      <c r="AI6" s="78">
        <f>AI12+AI17+AI23</f>
        <v/>
      </c>
      <c r="AJ6" s="78">
        <f>AJ12+AJ17+AJ23</f>
        <v/>
      </c>
      <c r="AK6" s="85">
        <f>AJ6/AI6</f>
        <v/>
      </c>
      <c r="AL6" s="78">
        <f>AL12+AL17+AL23</f>
        <v/>
      </c>
      <c r="AM6" s="78">
        <f>AM12+AM17+AM23</f>
        <v/>
      </c>
      <c r="AN6" s="85">
        <f>AM6/AL6</f>
        <v/>
      </c>
      <c r="AO6" s="78">
        <f>AO12+AO17+AO23</f>
        <v/>
      </c>
      <c r="AP6" s="78">
        <f>AP12+AP17+AP23</f>
        <v/>
      </c>
      <c r="AQ6" s="85">
        <f>AP6/AO6</f>
        <v/>
      </c>
      <c r="AR6" s="78">
        <f>AR12+AR17+AR23</f>
        <v/>
      </c>
      <c r="AS6" s="78">
        <f>AS12+AS17+AS23</f>
        <v/>
      </c>
      <c r="AT6" s="85">
        <f>AS6/AR6</f>
        <v/>
      </c>
      <c r="AU6" s="78">
        <f>AU12+AU17+AU23</f>
        <v/>
      </c>
      <c r="AV6" s="78">
        <f>AV12+AV17+AV23</f>
        <v/>
      </c>
      <c r="AW6" s="97">
        <f>AV6/AU6</f>
        <v/>
      </c>
      <c r="AX6" s="191" t="n"/>
      <c r="AY6" s="191" t="n"/>
      <c r="AZ6" s="191" t="n"/>
      <c r="BA6" s="191" t="n"/>
    </row>
    <row r="7" ht="80.25" customHeight="1" s="154">
      <c r="B7" s="208" t="inlineStr">
        <is>
          <t>外部紹介</t>
        </is>
      </c>
      <c r="C7" s="202" t="n"/>
      <c r="D7" s="203" t="n"/>
      <c r="E7" s="76" t="inlineStr">
        <is>
          <t>目標</t>
        </is>
      </c>
      <c r="F7" s="92" t="inlineStr">
        <is>
          <t>実績</t>
        </is>
      </c>
      <c r="G7" s="108" t="inlineStr">
        <is>
          <t>達成率</t>
        </is>
      </c>
      <c r="H7" s="73" t="inlineStr">
        <is>
          <t>目標</t>
        </is>
      </c>
      <c r="I7" s="68" t="inlineStr">
        <is>
          <t>実績</t>
        </is>
      </c>
      <c r="J7" s="108" t="inlineStr">
        <is>
          <t>達成率</t>
        </is>
      </c>
      <c r="K7" s="68" t="inlineStr">
        <is>
          <t>目標</t>
        </is>
      </c>
      <c r="L7" s="68" t="inlineStr">
        <is>
          <t>実績</t>
        </is>
      </c>
      <c r="M7" s="108" t="inlineStr">
        <is>
          <t>達成率</t>
        </is>
      </c>
      <c r="N7" s="68" t="inlineStr">
        <is>
          <t>目標</t>
        </is>
      </c>
      <c r="O7" s="68" t="inlineStr">
        <is>
          <t>実績</t>
        </is>
      </c>
      <c r="P7" s="108" t="inlineStr">
        <is>
          <t>達成率</t>
        </is>
      </c>
      <c r="Q7" s="68" t="inlineStr">
        <is>
          <t>目標</t>
        </is>
      </c>
      <c r="R7" s="68" t="inlineStr">
        <is>
          <t>実績</t>
        </is>
      </c>
      <c r="S7" s="108" t="inlineStr">
        <is>
          <t>達成率</t>
        </is>
      </c>
      <c r="T7" s="68" t="inlineStr">
        <is>
          <t>目標</t>
        </is>
      </c>
      <c r="U7" s="68" t="inlineStr">
        <is>
          <t>実績</t>
        </is>
      </c>
      <c r="V7" s="108" t="inlineStr">
        <is>
          <t>達成率</t>
        </is>
      </c>
      <c r="W7" s="68" t="inlineStr">
        <is>
          <t>目標</t>
        </is>
      </c>
      <c r="X7" s="68" t="inlineStr">
        <is>
          <t>実績</t>
        </is>
      </c>
      <c r="Y7" s="108" t="inlineStr">
        <is>
          <t>達成率</t>
        </is>
      </c>
      <c r="Z7" s="68" t="inlineStr">
        <is>
          <t>目標</t>
        </is>
      </c>
      <c r="AA7" s="68" t="inlineStr">
        <is>
          <t>実績</t>
        </is>
      </c>
      <c r="AB7" s="108" t="inlineStr">
        <is>
          <t>達成率</t>
        </is>
      </c>
      <c r="AC7" s="68" t="inlineStr">
        <is>
          <t>目標</t>
        </is>
      </c>
      <c r="AD7" s="68" t="inlineStr">
        <is>
          <t>実績</t>
        </is>
      </c>
      <c r="AE7" s="108" t="inlineStr">
        <is>
          <t>達成率</t>
        </is>
      </c>
      <c r="AF7" s="68" t="inlineStr">
        <is>
          <t>目標</t>
        </is>
      </c>
      <c r="AG7" s="68" t="inlineStr">
        <is>
          <t>実績</t>
        </is>
      </c>
      <c r="AH7" s="108" t="inlineStr">
        <is>
          <t>達成率</t>
        </is>
      </c>
      <c r="AI7" s="68" t="inlineStr">
        <is>
          <t>目標</t>
        </is>
      </c>
      <c r="AJ7" s="68" t="inlineStr">
        <is>
          <t>実績</t>
        </is>
      </c>
      <c r="AK7" s="108" t="inlineStr">
        <is>
          <t>達成率</t>
        </is>
      </c>
      <c r="AL7" s="68" t="inlineStr">
        <is>
          <t>目標</t>
        </is>
      </c>
      <c r="AM7" s="68" t="inlineStr">
        <is>
          <t>実績</t>
        </is>
      </c>
      <c r="AN7" s="108" t="inlineStr">
        <is>
          <t>達成率</t>
        </is>
      </c>
      <c r="AO7" s="68" t="inlineStr">
        <is>
          <t>目標</t>
        </is>
      </c>
      <c r="AP7" s="68" t="inlineStr">
        <is>
          <t>実績</t>
        </is>
      </c>
      <c r="AQ7" s="108" t="inlineStr">
        <is>
          <t>達成率</t>
        </is>
      </c>
      <c r="AR7" s="68" t="inlineStr">
        <is>
          <t>目標</t>
        </is>
      </c>
      <c r="AS7" s="68" t="inlineStr">
        <is>
          <t>実績</t>
        </is>
      </c>
      <c r="AT7" s="108" t="inlineStr">
        <is>
          <t>達成率</t>
        </is>
      </c>
      <c r="AU7" s="68" t="inlineStr">
        <is>
          <t>目標</t>
        </is>
      </c>
      <c r="AV7" s="68" t="inlineStr">
        <is>
          <t>実績</t>
        </is>
      </c>
      <c r="AW7" s="108" t="inlineStr">
        <is>
          <t>達成率</t>
        </is>
      </c>
      <c r="AX7" s="191" t="n"/>
      <c r="AY7" s="191" t="n"/>
      <c r="BA7" s="54" t="n"/>
    </row>
    <row r="8" ht="80.25" customHeight="1" s="154">
      <c r="B8" s="198" t="inlineStr">
        <is>
          <t>技人国</t>
        </is>
      </c>
      <c r="C8" s="199" t="n"/>
      <c r="D8" s="200" t="n"/>
      <c r="E8" s="74" t="n">
        <v>900</v>
      </c>
      <c r="F8" s="86" t="n">
        <v>400</v>
      </c>
      <c r="G8" s="93">
        <f>F8/E8</f>
        <v/>
      </c>
      <c r="H8" s="71" t="n">
        <v>900</v>
      </c>
      <c r="I8" s="67" t="n">
        <v>0</v>
      </c>
      <c r="J8" s="93">
        <f>I8/H8</f>
        <v/>
      </c>
      <c r="K8" s="67" t="n">
        <v>900</v>
      </c>
      <c r="L8" s="67" t="n">
        <v>0</v>
      </c>
      <c r="M8" s="93">
        <f>L8/K8</f>
        <v/>
      </c>
      <c r="N8" s="67" t="n">
        <v>900</v>
      </c>
      <c r="O8" s="67" t="n">
        <v>0</v>
      </c>
      <c r="P8" s="93">
        <f>O8/N8</f>
        <v/>
      </c>
      <c r="Q8" s="67" t="n">
        <v>900</v>
      </c>
      <c r="R8" s="67" t="n">
        <v>400</v>
      </c>
      <c r="S8" s="93">
        <f>R8/Q8</f>
        <v/>
      </c>
      <c r="T8" s="67" t="n">
        <v>900</v>
      </c>
      <c r="U8" s="67" t="n"/>
      <c r="V8" s="93">
        <f>U8/T8</f>
        <v/>
      </c>
      <c r="W8" s="67">
        <f>E8+H8+K8+N8+Q8+T8</f>
        <v/>
      </c>
      <c r="X8" s="67">
        <f>F8+I8+L8+O8+R8+U8</f>
        <v/>
      </c>
      <c r="Y8" s="93">
        <f>X8/W8</f>
        <v/>
      </c>
      <c r="Z8" s="67" t="n">
        <v>900</v>
      </c>
      <c r="AA8" s="67" t="n"/>
      <c r="AB8" s="93">
        <f>AA8/Z8</f>
        <v/>
      </c>
      <c r="AC8" s="67" t="n">
        <v>900</v>
      </c>
      <c r="AD8" s="67" t="n"/>
      <c r="AE8" s="93">
        <f>AD8/AC8</f>
        <v/>
      </c>
      <c r="AF8" s="67" t="n">
        <v>900</v>
      </c>
      <c r="AG8" s="67" t="n"/>
      <c r="AH8" s="93">
        <f>AG8/AF8</f>
        <v/>
      </c>
      <c r="AI8" s="67" t="n">
        <v>900</v>
      </c>
      <c r="AJ8" s="67" t="n"/>
      <c r="AK8" s="93">
        <f>AJ8/AI8</f>
        <v/>
      </c>
      <c r="AL8" s="67" t="n">
        <v>900</v>
      </c>
      <c r="AM8" s="67" t="n"/>
      <c r="AN8" s="93">
        <f>AM8/AL8</f>
        <v/>
      </c>
      <c r="AO8" s="67" t="n">
        <v>900</v>
      </c>
      <c r="AP8" s="67" t="n"/>
      <c r="AQ8" s="93">
        <f>AP8/AO8</f>
        <v/>
      </c>
      <c r="AR8" s="67">
        <f>SUM(Z8:AP8)</f>
        <v/>
      </c>
      <c r="AS8" s="67">
        <f>AA8+AD8+AG8+AJ8+AM8+AP8</f>
        <v/>
      </c>
      <c r="AT8" s="93">
        <f>AS8/AR8</f>
        <v/>
      </c>
      <c r="AU8" s="67">
        <f>W8+AR8</f>
        <v/>
      </c>
      <c r="AV8" s="67">
        <f>X8+AS8</f>
        <v/>
      </c>
      <c r="AW8" s="98">
        <f>AV8/AU8</f>
        <v/>
      </c>
      <c r="AX8" s="191" t="n"/>
      <c r="BA8" s="54" t="n"/>
    </row>
    <row r="9" ht="80.25" customHeight="1" s="154">
      <c r="B9" s="198" t="inlineStr">
        <is>
          <t>特定技能</t>
        </is>
      </c>
      <c r="C9" s="199" t="n"/>
      <c r="D9" s="200" t="n"/>
      <c r="E9" s="74" t="n">
        <v>200</v>
      </c>
      <c r="F9" s="67" t="n">
        <v>0</v>
      </c>
      <c r="G9" s="93">
        <f>F9/E9</f>
        <v/>
      </c>
      <c r="H9" s="71" t="n">
        <v>200</v>
      </c>
      <c r="I9" s="67" t="n">
        <v>200</v>
      </c>
      <c r="J9" s="93">
        <f>I9/H9</f>
        <v/>
      </c>
      <c r="K9" s="67" t="n">
        <v>200</v>
      </c>
      <c r="L9" s="67" t="n">
        <v>0</v>
      </c>
      <c r="M9" s="93">
        <f>L9/K9</f>
        <v/>
      </c>
      <c r="N9" s="67" t="n">
        <v>200</v>
      </c>
      <c r="O9" s="67" t="n">
        <v>0</v>
      </c>
      <c r="P9" s="93">
        <f>O9/N9</f>
        <v/>
      </c>
      <c r="Q9" s="67" t="n">
        <v>200</v>
      </c>
      <c r="R9" s="67" t="n">
        <v>0</v>
      </c>
      <c r="S9" s="93">
        <f>R9/Q9</f>
        <v/>
      </c>
      <c r="T9" s="67" t="n">
        <v>200</v>
      </c>
      <c r="U9" s="67" t="n"/>
      <c r="V9" s="93">
        <f>U9/T9</f>
        <v/>
      </c>
      <c r="W9" s="67">
        <f>E9+H9+K9+N9+Q9+T9</f>
        <v/>
      </c>
      <c r="X9" s="67">
        <f>F9+I9+L9+O9+R9+U9</f>
        <v/>
      </c>
      <c r="Y9" s="93">
        <f>X9/W9</f>
        <v/>
      </c>
      <c r="Z9" s="67" t="n">
        <v>200</v>
      </c>
      <c r="AA9" s="67" t="n"/>
      <c r="AB9" s="93">
        <f>AA9/Z9</f>
        <v/>
      </c>
      <c r="AC9" s="67" t="n">
        <v>200</v>
      </c>
      <c r="AD9" s="67" t="n"/>
      <c r="AE9" s="93">
        <f>AD9/AC9</f>
        <v/>
      </c>
      <c r="AF9" s="67" t="n">
        <v>200</v>
      </c>
      <c r="AG9" s="67" t="n"/>
      <c r="AH9" s="93">
        <f>AG9/AF9</f>
        <v/>
      </c>
      <c r="AI9" s="67" t="n">
        <v>200</v>
      </c>
      <c r="AJ9" s="67" t="n"/>
      <c r="AK9" s="93">
        <f>AJ9/AI9</f>
        <v/>
      </c>
      <c r="AL9" s="67" t="n">
        <v>200</v>
      </c>
      <c r="AM9" s="67" t="n"/>
      <c r="AN9" s="93">
        <f>AM9/AL9</f>
        <v/>
      </c>
      <c r="AO9" s="67" t="n">
        <v>200</v>
      </c>
      <c r="AP9" s="67" t="n"/>
      <c r="AQ9" s="93">
        <f>AP9/AO9</f>
        <v/>
      </c>
      <c r="AR9" s="67">
        <f>Z9+AC9+AF9+AI9+AL9+AO9</f>
        <v/>
      </c>
      <c r="AS9" s="67">
        <f>AA9+AD9+AG9+AJ9+AM9+AP9</f>
        <v/>
      </c>
      <c r="AT9" s="93">
        <f>AS9/AR9</f>
        <v/>
      </c>
      <c r="AU9" s="67">
        <f>W9+AR9</f>
        <v/>
      </c>
      <c r="AV9" s="67">
        <f>X9+AS9</f>
        <v/>
      </c>
      <c r="AW9" s="98">
        <f>AV9/AU9</f>
        <v/>
      </c>
      <c r="BA9" s="54" t="n"/>
    </row>
    <row r="10" outlineLevel="1" ht="80.25" customHeight="1" s="154">
      <c r="B10" s="198" t="inlineStr">
        <is>
          <t>アルバイト</t>
        </is>
      </c>
      <c r="C10" s="199" t="n"/>
      <c r="D10" s="200" t="n"/>
      <c r="E10" s="74" t="n"/>
      <c r="F10" s="67" t="n">
        <v>60</v>
      </c>
      <c r="G10" s="93">
        <f>F10/E10</f>
        <v/>
      </c>
      <c r="H10" s="71" t="n"/>
      <c r="I10" s="67" t="n">
        <v>0</v>
      </c>
      <c r="J10" s="93">
        <f>I10/H10</f>
        <v/>
      </c>
      <c r="K10" s="67" t="n"/>
      <c r="L10" s="67" t="n">
        <v>30</v>
      </c>
      <c r="M10" s="93">
        <f>L10/K10</f>
        <v/>
      </c>
      <c r="N10" s="67" t="n"/>
      <c r="O10" s="67" t="n">
        <v>180</v>
      </c>
      <c r="P10" s="93">
        <f>O10/N10</f>
        <v/>
      </c>
      <c r="Q10" s="67" t="n"/>
      <c r="R10" s="67" t="n">
        <v>0</v>
      </c>
      <c r="S10" s="93">
        <f>R10/Q10</f>
        <v/>
      </c>
      <c r="T10" s="67" t="n"/>
      <c r="U10" s="67" t="n"/>
      <c r="V10" s="93">
        <f>U10/T10</f>
        <v/>
      </c>
      <c r="W10" s="67">
        <f>E10+H10+K10+N10+Q10+T10</f>
        <v/>
      </c>
      <c r="X10" s="67">
        <f>F10+I10+L10+O10+R10+U10</f>
        <v/>
      </c>
      <c r="Y10" s="93">
        <f>X10/W10</f>
        <v/>
      </c>
      <c r="Z10" s="67" t="n"/>
      <c r="AA10" s="67" t="n"/>
      <c r="AB10" s="93">
        <f>AA10/Z10</f>
        <v/>
      </c>
      <c r="AC10" s="67" t="n"/>
      <c r="AD10" s="67" t="n"/>
      <c r="AE10" s="93">
        <f>AD10/AC10</f>
        <v/>
      </c>
      <c r="AF10" s="67" t="n"/>
      <c r="AG10" s="67" t="n"/>
      <c r="AH10" s="93">
        <f>AG10/AF10</f>
        <v/>
      </c>
      <c r="AI10" s="67" t="n"/>
      <c r="AJ10" s="67" t="n"/>
      <c r="AK10" s="93">
        <f>AJ10/AI10</f>
        <v/>
      </c>
      <c r="AL10" s="67" t="n"/>
      <c r="AM10" s="67" t="n"/>
      <c r="AN10" s="93">
        <f>AM10/AL10</f>
        <v/>
      </c>
      <c r="AO10" s="67" t="n"/>
      <c r="AP10" s="67" t="n"/>
      <c r="AQ10" s="93">
        <f>AP10/AO10</f>
        <v/>
      </c>
      <c r="AR10" s="67">
        <f>Z10+AC10+AF10+AI10+AL10+AO10</f>
        <v/>
      </c>
      <c r="AS10" s="67">
        <f>AA10+AD10+AG10+AJ10+AM10+AP10</f>
        <v/>
      </c>
      <c r="AT10" s="93">
        <f>AS10/AR10</f>
        <v/>
      </c>
      <c r="AU10" s="67">
        <f>W10+AR10</f>
        <v/>
      </c>
      <c r="AV10" s="67">
        <f>X10+AS10</f>
        <v/>
      </c>
      <c r="AW10" s="98">
        <f>AV10/AU10</f>
        <v/>
      </c>
      <c r="BA10" s="54" t="n"/>
    </row>
    <row r="11" outlineLevel="1" ht="80.25" customHeight="1" s="154">
      <c r="B11" s="198" t="inlineStr">
        <is>
          <t>支援業務</t>
        </is>
      </c>
      <c r="C11" s="199" t="n"/>
      <c r="D11" s="200" t="n"/>
      <c r="E11" s="75" t="n"/>
      <c r="F11" s="67" t="n">
        <v>70</v>
      </c>
      <c r="G11" s="93">
        <f>F11/E11</f>
        <v/>
      </c>
      <c r="H11" s="72" t="n"/>
      <c r="I11" s="70" t="n">
        <v>65</v>
      </c>
      <c r="J11" s="93">
        <f>I11/H11</f>
        <v/>
      </c>
      <c r="K11" s="70" t="n"/>
      <c r="L11" s="70" t="n">
        <v>65</v>
      </c>
      <c r="M11" s="93">
        <f>L11/K11</f>
        <v/>
      </c>
      <c r="N11" s="70" t="n"/>
      <c r="O11" s="70" t="n">
        <v>65</v>
      </c>
      <c r="P11" s="93">
        <f>O11/N11</f>
        <v/>
      </c>
      <c r="Q11" s="70" t="n"/>
      <c r="R11" s="70" t="n">
        <v>85</v>
      </c>
      <c r="S11" s="93">
        <f>R11/Q11</f>
        <v/>
      </c>
      <c r="T11" s="70" t="n"/>
      <c r="U11" s="70" t="n"/>
      <c r="V11" s="93">
        <f>U11/T11</f>
        <v/>
      </c>
      <c r="W11" s="70" t="n"/>
      <c r="X11" s="70">
        <f>F11+I11+L11+O11+R11+U11</f>
        <v/>
      </c>
      <c r="Y11" s="93">
        <f>X11/W11</f>
        <v/>
      </c>
      <c r="Z11" s="70" t="n"/>
      <c r="AA11" s="70" t="n"/>
      <c r="AB11" s="93">
        <f>AA11/Z11</f>
        <v/>
      </c>
      <c r="AC11" s="70" t="n"/>
      <c r="AD11" s="70" t="n"/>
      <c r="AE11" s="93">
        <f>AD11/AC11</f>
        <v/>
      </c>
      <c r="AF11" s="70" t="n"/>
      <c r="AG11" s="70" t="n"/>
      <c r="AH11" s="93">
        <f>AG11/AF11</f>
        <v/>
      </c>
      <c r="AI11" s="70" t="n"/>
      <c r="AJ11" s="70" t="n"/>
      <c r="AK11" s="93">
        <f>AJ11/AI11</f>
        <v/>
      </c>
      <c r="AL11" s="70" t="n"/>
      <c r="AM11" s="70" t="n"/>
      <c r="AN11" s="93">
        <f>AM11/AL11</f>
        <v/>
      </c>
      <c r="AO11" s="70" t="n"/>
      <c r="AP11" s="70" t="n"/>
      <c r="AQ11" s="93">
        <f>AP11/AO11</f>
        <v/>
      </c>
      <c r="AR11" s="70" t="n"/>
      <c r="AS11" s="70">
        <f>AA11+AD11+AG11+AJ11+AM11+AP11</f>
        <v/>
      </c>
      <c r="AT11" s="93">
        <f>AS11/AR11</f>
        <v/>
      </c>
      <c r="AU11" s="70">
        <f>W11+AR11</f>
        <v/>
      </c>
      <c r="AV11" s="70">
        <f>X11+AS11</f>
        <v/>
      </c>
      <c r="AW11" s="98">
        <f>AV11/AU11</f>
        <v/>
      </c>
      <c r="BA11" s="54" t="n"/>
    </row>
    <row r="12" ht="80.25" customHeight="1" s="154">
      <c r="B12" s="221" t="inlineStr">
        <is>
          <t>小計</t>
        </is>
      </c>
      <c r="C12" s="206" t="n"/>
      <c r="D12" s="207" t="n"/>
      <c r="E12" s="81">
        <f>E8+E9+E10+E11</f>
        <v/>
      </c>
      <c r="F12" s="87">
        <f>F8+F9+F10+F11</f>
        <v/>
      </c>
      <c r="G12" s="88">
        <f>F12/E12</f>
        <v/>
      </c>
      <c r="H12" s="82">
        <f>H8+H9+H10+H11</f>
        <v/>
      </c>
      <c r="I12" s="83">
        <f>I8+I9+I10+I11</f>
        <v/>
      </c>
      <c r="J12" s="88">
        <f>I12/H12</f>
        <v/>
      </c>
      <c r="K12" s="83">
        <f>K8+K9+K10+K11</f>
        <v/>
      </c>
      <c r="L12" s="83">
        <f>L8+L9+L10+L11</f>
        <v/>
      </c>
      <c r="M12" s="88">
        <f>L12/K12</f>
        <v/>
      </c>
      <c r="N12" s="83">
        <f>N8+N9+N10+N11</f>
        <v/>
      </c>
      <c r="O12" s="83">
        <f>O8+O9+O10+O11</f>
        <v/>
      </c>
      <c r="P12" s="88">
        <f>O12/N12</f>
        <v/>
      </c>
      <c r="Q12" s="83">
        <f>Q8+Q9+Q10+Q11</f>
        <v/>
      </c>
      <c r="R12" s="83">
        <f>R8+R9+R10+R11</f>
        <v/>
      </c>
      <c r="S12" s="88">
        <f>R12/Q12</f>
        <v/>
      </c>
      <c r="T12" s="83">
        <f>T8+T9+T10</f>
        <v/>
      </c>
      <c r="U12" s="83">
        <f>U8+U9+U10</f>
        <v/>
      </c>
      <c r="V12" s="88">
        <f>U12/T12</f>
        <v/>
      </c>
      <c r="W12" s="83">
        <f>W8+W9+W10+W11</f>
        <v/>
      </c>
      <c r="X12" s="83">
        <f>X8+X9+X10+X11</f>
        <v/>
      </c>
      <c r="Y12" s="93">
        <f>X12/W12</f>
        <v/>
      </c>
      <c r="Z12" s="83">
        <f>Z8+Z9+Z10+Z11</f>
        <v/>
      </c>
      <c r="AA12" s="83">
        <f>AA8+AA9+AA10+AA11</f>
        <v/>
      </c>
      <c r="AB12" s="88">
        <f>AA12/Z12</f>
        <v/>
      </c>
      <c r="AC12" s="83">
        <f>AC8+AC9+AC10+AC11</f>
        <v/>
      </c>
      <c r="AD12" s="83">
        <f>AD8+AD9+AD10+AD11</f>
        <v/>
      </c>
      <c r="AE12" s="88">
        <f>AD12/AC12</f>
        <v/>
      </c>
      <c r="AF12" s="83">
        <f>AF8+AF9+AF10+AF11</f>
        <v/>
      </c>
      <c r="AG12" s="83">
        <f>AG8+AG9+AG10+AG11</f>
        <v/>
      </c>
      <c r="AH12" s="88">
        <f>AG12/AF12</f>
        <v/>
      </c>
      <c r="AI12" s="83">
        <f>AI8+AI9+AI10+AI11</f>
        <v/>
      </c>
      <c r="AJ12" s="83">
        <f>AJ8+AJ9+AJ10+AJ11</f>
        <v/>
      </c>
      <c r="AK12" s="88">
        <f>AJ12/AI12</f>
        <v/>
      </c>
      <c r="AL12" s="83">
        <f>AL8+AL9+AL10+AL11</f>
        <v/>
      </c>
      <c r="AM12" s="83">
        <f>AM8+AM9+AM10+AM11</f>
        <v/>
      </c>
      <c r="AN12" s="88">
        <f>AM12/AL12</f>
        <v/>
      </c>
      <c r="AO12" s="83">
        <f>AO8+AO9+AO10+AO11</f>
        <v/>
      </c>
      <c r="AP12" s="83">
        <f>AP8+AP9+AP10+AP11</f>
        <v/>
      </c>
      <c r="AQ12" s="88">
        <f>AP12/AO12</f>
        <v/>
      </c>
      <c r="AR12" s="83">
        <f>AR8+AR9+AR10+AR11</f>
        <v/>
      </c>
      <c r="AS12" s="83">
        <f>AS8+AS9+AS10+AS11</f>
        <v/>
      </c>
      <c r="AT12" s="93">
        <f>AS12/AR12</f>
        <v/>
      </c>
      <c r="AU12" s="83">
        <f>AU8+AU9+AU10+AU11</f>
        <v/>
      </c>
      <c r="AV12" s="83">
        <f>AV8+AV9+AV10+AV11</f>
        <v/>
      </c>
      <c r="AW12" s="98">
        <f>AV12/AU12</f>
        <v/>
      </c>
      <c r="AX12" s="191" t="n"/>
      <c r="BA12" s="54" t="n"/>
    </row>
    <row r="13" outlineLevel="1" ht="80.25" customHeight="1" s="154">
      <c r="B13" s="222" t="inlineStr">
        <is>
          <t>試験対策</t>
        </is>
      </c>
      <c r="C13" s="202" t="n"/>
      <c r="D13" s="203" t="n"/>
      <c r="E13" s="103" t="inlineStr">
        <is>
          <t>目標</t>
        </is>
      </c>
      <c r="F13" s="104" t="inlineStr">
        <is>
          <t>実績</t>
        </is>
      </c>
      <c r="G13" s="105" t="inlineStr">
        <is>
          <t>達成率</t>
        </is>
      </c>
      <c r="H13" s="106" t="inlineStr">
        <is>
          <t>目標</t>
        </is>
      </c>
      <c r="I13" s="107" t="inlineStr">
        <is>
          <t>実績</t>
        </is>
      </c>
      <c r="J13" s="105" t="inlineStr">
        <is>
          <t>達成率</t>
        </is>
      </c>
      <c r="K13" s="107" t="inlineStr">
        <is>
          <t>目標</t>
        </is>
      </c>
      <c r="L13" s="107" t="inlineStr">
        <is>
          <t>実績</t>
        </is>
      </c>
      <c r="M13" s="105" t="inlineStr">
        <is>
          <t>達成率</t>
        </is>
      </c>
      <c r="N13" s="107" t="inlineStr">
        <is>
          <t>目標</t>
        </is>
      </c>
      <c r="O13" s="107" t="inlineStr">
        <is>
          <t>実績</t>
        </is>
      </c>
      <c r="P13" s="105" t="inlineStr">
        <is>
          <t>達成率</t>
        </is>
      </c>
      <c r="Q13" s="107" t="inlineStr">
        <is>
          <t>目標</t>
        </is>
      </c>
      <c r="R13" s="107" t="inlineStr">
        <is>
          <t>実績</t>
        </is>
      </c>
      <c r="S13" s="105" t="inlineStr">
        <is>
          <t>達成率</t>
        </is>
      </c>
      <c r="T13" s="107" t="inlineStr">
        <is>
          <t>目標</t>
        </is>
      </c>
      <c r="U13" s="107" t="inlineStr">
        <is>
          <t>実績</t>
        </is>
      </c>
      <c r="V13" s="105" t="inlineStr">
        <is>
          <t>達成率</t>
        </is>
      </c>
      <c r="W13" s="107" t="inlineStr">
        <is>
          <t>目標</t>
        </is>
      </c>
      <c r="X13" s="107" t="inlineStr">
        <is>
          <t>実績</t>
        </is>
      </c>
      <c r="Y13" s="105" t="inlineStr">
        <is>
          <t>達成率</t>
        </is>
      </c>
      <c r="Z13" s="107" t="inlineStr">
        <is>
          <t>目標</t>
        </is>
      </c>
      <c r="AA13" s="107" t="inlineStr">
        <is>
          <t>実績</t>
        </is>
      </c>
      <c r="AB13" s="105" t="inlineStr">
        <is>
          <t>達成率</t>
        </is>
      </c>
      <c r="AC13" s="107" t="inlineStr">
        <is>
          <t>目標</t>
        </is>
      </c>
      <c r="AD13" s="107" t="inlineStr">
        <is>
          <t>実績</t>
        </is>
      </c>
      <c r="AE13" s="105" t="inlineStr">
        <is>
          <t>達成率</t>
        </is>
      </c>
      <c r="AF13" s="107" t="inlineStr">
        <is>
          <t>目標</t>
        </is>
      </c>
      <c r="AG13" s="107" t="inlineStr">
        <is>
          <t>実績</t>
        </is>
      </c>
      <c r="AH13" s="105" t="inlineStr">
        <is>
          <t>達成率</t>
        </is>
      </c>
      <c r="AI13" s="107" t="inlineStr">
        <is>
          <t>目標</t>
        </is>
      </c>
      <c r="AJ13" s="107" t="inlineStr">
        <is>
          <t>実績</t>
        </is>
      </c>
      <c r="AK13" s="105" t="inlineStr">
        <is>
          <t>達成率</t>
        </is>
      </c>
      <c r="AL13" s="107" t="inlineStr">
        <is>
          <t>目標</t>
        </is>
      </c>
      <c r="AM13" s="107" t="inlineStr">
        <is>
          <t>実績</t>
        </is>
      </c>
      <c r="AN13" s="105" t="inlineStr">
        <is>
          <t>達成率</t>
        </is>
      </c>
      <c r="AO13" s="107" t="inlineStr">
        <is>
          <t>目標</t>
        </is>
      </c>
      <c r="AP13" s="107" t="inlineStr">
        <is>
          <t>実績</t>
        </is>
      </c>
      <c r="AQ13" s="105" t="inlineStr">
        <is>
          <t>達成率</t>
        </is>
      </c>
      <c r="AR13" s="107" t="inlineStr">
        <is>
          <t>目標</t>
        </is>
      </c>
      <c r="AS13" s="107" t="inlineStr">
        <is>
          <t>実績</t>
        </is>
      </c>
      <c r="AT13" s="105" t="inlineStr">
        <is>
          <t>達成率</t>
        </is>
      </c>
      <c r="AU13" s="107" t="inlineStr">
        <is>
          <t>目標</t>
        </is>
      </c>
      <c r="AV13" s="107" t="inlineStr">
        <is>
          <t>実績</t>
        </is>
      </c>
      <c r="AW13" s="105" t="inlineStr">
        <is>
          <t>達成率</t>
        </is>
      </c>
      <c r="BA13" s="54" t="n"/>
    </row>
    <row r="14" ht="80.25" customHeight="1" s="154">
      <c r="B14" s="198" t="inlineStr">
        <is>
          <t>ビルクリーン</t>
        </is>
      </c>
      <c r="C14" s="199" t="n"/>
      <c r="D14" s="200" t="n"/>
      <c r="E14" s="74" t="n">
        <v>0</v>
      </c>
      <c r="F14" s="67" t="n">
        <v>87.90000000000001</v>
      </c>
      <c r="G14" s="93">
        <f>F14/E14</f>
        <v/>
      </c>
      <c r="H14" s="71" t="n">
        <v>400</v>
      </c>
      <c r="I14" s="67" t="n">
        <v>149.4</v>
      </c>
      <c r="J14" s="93">
        <f>I14/H14</f>
        <v/>
      </c>
      <c r="K14" s="67" t="n">
        <v>0</v>
      </c>
      <c r="L14" s="67" t="n">
        <v>67.2</v>
      </c>
      <c r="M14" s="93">
        <f>L14/K14</f>
        <v/>
      </c>
      <c r="N14" s="67" t="n">
        <v>400</v>
      </c>
      <c r="O14" s="67" t="n">
        <v>124.2</v>
      </c>
      <c r="P14" s="93">
        <f>O14/N14</f>
        <v/>
      </c>
      <c r="Q14" s="67" t="n">
        <v>0</v>
      </c>
      <c r="R14" s="67" t="n">
        <v>160</v>
      </c>
      <c r="S14" s="93">
        <f>R14/Q14</f>
        <v/>
      </c>
      <c r="T14" s="67" t="n">
        <v>400</v>
      </c>
      <c r="U14" s="67" t="n"/>
      <c r="V14" s="93">
        <f>U14/T14</f>
        <v/>
      </c>
      <c r="W14" s="67">
        <f>E14+H14+K14+N14+Q14+T14</f>
        <v/>
      </c>
      <c r="X14" s="67">
        <f>F14+I14+L14+O14+R14+U14</f>
        <v/>
      </c>
      <c r="Y14" s="93">
        <f>X14/W14</f>
        <v/>
      </c>
      <c r="Z14" s="67" t="n">
        <v>0</v>
      </c>
      <c r="AA14" s="67" t="n"/>
      <c r="AB14" s="93">
        <f>AA14/Z14</f>
        <v/>
      </c>
      <c r="AC14" s="67" t="n">
        <v>400</v>
      </c>
      <c r="AD14" s="67" t="n"/>
      <c r="AE14" s="93">
        <f>AD14/AC14</f>
        <v/>
      </c>
      <c r="AF14" s="67" t="n">
        <v>0</v>
      </c>
      <c r="AG14" s="67" t="n"/>
      <c r="AH14" s="93">
        <f>AG14/AF14</f>
        <v/>
      </c>
      <c r="AI14" s="67" t="n">
        <v>400</v>
      </c>
      <c r="AJ14" s="67" t="n"/>
      <c r="AK14" s="93">
        <f>AJ14/AI14</f>
        <v/>
      </c>
      <c r="AL14" s="67" t="n">
        <v>0</v>
      </c>
      <c r="AM14" s="67" t="n"/>
      <c r="AN14" s="93">
        <f>AM14/AL14</f>
        <v/>
      </c>
      <c r="AO14" s="67" t="n">
        <v>400</v>
      </c>
      <c r="AP14" s="67" t="n"/>
      <c r="AQ14" s="93">
        <f>AP14/AO14</f>
        <v/>
      </c>
      <c r="AR14" s="67">
        <f>Z14+AC14+AF14+AI14+AL14+AO14</f>
        <v/>
      </c>
      <c r="AS14" s="67">
        <f>AA14+AD14+AG14+AJ14+AM14+AP14</f>
        <v/>
      </c>
      <c r="AT14" s="93">
        <f>AS14/AR14</f>
        <v/>
      </c>
      <c r="AU14" s="67">
        <f>W14+AR14</f>
        <v/>
      </c>
      <c r="AV14" s="67">
        <f>X14+AS14</f>
        <v/>
      </c>
      <c r="AW14" s="98">
        <f>AV14/AU14</f>
        <v/>
      </c>
      <c r="AX14" s="191" t="n"/>
      <c r="BA14" s="54" t="n"/>
    </row>
    <row r="15" ht="80.25" customHeight="1" s="154">
      <c r="B15" s="198" t="inlineStr">
        <is>
          <t>外食</t>
        </is>
      </c>
      <c r="C15" s="199" t="n"/>
      <c r="D15" s="200" t="n"/>
      <c r="E15" s="74" t="n">
        <v>0</v>
      </c>
      <c r="F15" s="67" t="n"/>
      <c r="G15" s="93">
        <f>F15/E15</f>
        <v/>
      </c>
      <c r="H15" s="71" t="n">
        <v>0</v>
      </c>
      <c r="I15" s="67" t="n">
        <v>0</v>
      </c>
      <c r="J15" s="93">
        <f>I15/H15</f>
        <v/>
      </c>
      <c r="K15" s="67" t="n">
        <v>0</v>
      </c>
      <c r="L15" s="67" t="n"/>
      <c r="M15" s="93">
        <f>L15/K15</f>
        <v/>
      </c>
      <c r="N15" s="67" t="n">
        <v>0</v>
      </c>
      <c r="O15" s="67" t="n"/>
      <c r="P15" s="93">
        <f>O15/N15</f>
        <v/>
      </c>
      <c r="Q15" s="67" t="n">
        <v>0</v>
      </c>
      <c r="R15" s="67" t="n">
        <v>0</v>
      </c>
      <c r="S15" s="93">
        <f>R15/Q15</f>
        <v/>
      </c>
      <c r="T15" s="67" t="n">
        <v>0</v>
      </c>
      <c r="U15" s="67" t="n"/>
      <c r="V15" s="93">
        <f>U15/T15</f>
        <v/>
      </c>
      <c r="W15" s="67">
        <f>E15+H15+K15+N15+Q15+T15</f>
        <v/>
      </c>
      <c r="X15" s="67">
        <f>F15+I15+L15+O15+R15+U15</f>
        <v/>
      </c>
      <c r="Y15" s="93">
        <f>X15/W15</f>
        <v/>
      </c>
      <c r="Z15" s="67" t="n">
        <v>0</v>
      </c>
      <c r="AA15" s="67" t="n"/>
      <c r="AB15" s="93">
        <f>AA15/Z15</f>
        <v/>
      </c>
      <c r="AC15" s="67" t="n">
        <v>0</v>
      </c>
      <c r="AD15" s="67" t="n"/>
      <c r="AE15" s="93">
        <f>AD15/AC15</f>
        <v/>
      </c>
      <c r="AF15" s="67" t="n">
        <v>0</v>
      </c>
      <c r="AG15" s="67" t="n"/>
      <c r="AH15" s="93">
        <f>AG15/AF15</f>
        <v/>
      </c>
      <c r="AI15" s="67" t="n">
        <v>0</v>
      </c>
      <c r="AJ15" s="67" t="n"/>
      <c r="AK15" s="93">
        <f>AJ15/AI15</f>
        <v/>
      </c>
      <c r="AL15" s="67" t="n">
        <v>0</v>
      </c>
      <c r="AM15" s="67" t="n"/>
      <c r="AN15" s="93">
        <f>AM15/AL15</f>
        <v/>
      </c>
      <c r="AO15" s="67" t="n">
        <v>0</v>
      </c>
      <c r="AP15" s="67" t="n"/>
      <c r="AQ15" s="93">
        <f>AP15/AO15</f>
        <v/>
      </c>
      <c r="AR15" s="67">
        <f>Z15+AC15+AF15+AI15+AL15+AO15</f>
        <v/>
      </c>
      <c r="AS15" s="67">
        <f>AA15+AD15+AG15+AJ15+AM15+AP15</f>
        <v/>
      </c>
      <c r="AT15" s="93">
        <f>AS15/AR15</f>
        <v/>
      </c>
      <c r="AU15" s="67">
        <f>W15+AR15</f>
        <v/>
      </c>
      <c r="AV15" s="67">
        <f>X15+AS15</f>
        <v/>
      </c>
      <c r="AW15" s="98">
        <f>AV15/AU15</f>
        <v/>
      </c>
      <c r="BA15" s="54" t="n"/>
    </row>
    <row r="16" ht="80.25" customHeight="1" s="154">
      <c r="B16" s="198" t="inlineStr">
        <is>
          <t>宿泊</t>
        </is>
      </c>
      <c r="C16" s="199" t="n"/>
      <c r="D16" s="200" t="n"/>
      <c r="E16" s="74" t="n">
        <v>0</v>
      </c>
      <c r="F16" s="67" t="n"/>
      <c r="G16" s="93">
        <f>F16/E16</f>
        <v/>
      </c>
      <c r="H16" s="71" t="n">
        <v>0</v>
      </c>
      <c r="I16" s="67" t="n">
        <v>0</v>
      </c>
      <c r="J16" s="93">
        <f>I16/H16</f>
        <v/>
      </c>
      <c r="K16" s="67" t="n">
        <v>0</v>
      </c>
      <c r="L16" s="67" t="n"/>
      <c r="M16" s="93">
        <f>L16/K16</f>
        <v/>
      </c>
      <c r="N16" s="67" t="n">
        <v>0</v>
      </c>
      <c r="O16" s="67" t="n"/>
      <c r="P16" s="93">
        <f>O16/N16</f>
        <v/>
      </c>
      <c r="Q16" s="67" t="n">
        <v>0</v>
      </c>
      <c r="R16" s="67" t="n">
        <v>0</v>
      </c>
      <c r="S16" s="93">
        <f>R16/Q16</f>
        <v/>
      </c>
      <c r="T16" s="67" t="n">
        <v>0</v>
      </c>
      <c r="U16" s="67" t="n"/>
      <c r="V16" s="93">
        <f>U16/T16</f>
        <v/>
      </c>
      <c r="W16" s="67">
        <f>E16+H16+K16+N16+Q16+T16</f>
        <v/>
      </c>
      <c r="X16" s="67">
        <f>F16+I16+L16+O16+R16+U16</f>
        <v/>
      </c>
      <c r="Y16" s="93">
        <f>X16/W16</f>
        <v/>
      </c>
      <c r="Z16" s="67" t="n">
        <v>0</v>
      </c>
      <c r="AA16" s="67" t="n"/>
      <c r="AB16" s="93">
        <f>AA16/Z16</f>
        <v/>
      </c>
      <c r="AC16" s="67" t="n">
        <v>0</v>
      </c>
      <c r="AD16" s="67" t="n"/>
      <c r="AE16" s="93">
        <f>AD16/AC16</f>
        <v/>
      </c>
      <c r="AF16" s="67" t="n">
        <v>0</v>
      </c>
      <c r="AG16" s="67" t="n"/>
      <c r="AH16" s="93">
        <f>AG16/AF16</f>
        <v/>
      </c>
      <c r="AI16" s="67" t="n">
        <v>0</v>
      </c>
      <c r="AJ16" s="67" t="n"/>
      <c r="AK16" s="93">
        <f>AJ16/AI16</f>
        <v/>
      </c>
      <c r="AL16" s="67" t="n">
        <v>0</v>
      </c>
      <c r="AM16" s="67" t="n"/>
      <c r="AN16" s="93">
        <f>AM16/AL16</f>
        <v/>
      </c>
      <c r="AO16" s="67" t="n">
        <v>0</v>
      </c>
      <c r="AP16" s="67" t="n"/>
      <c r="AQ16" s="93">
        <f>AP16/AO16</f>
        <v/>
      </c>
      <c r="AR16" s="67">
        <f>Z16+AC16+AF16+AI16+AL16+AO16</f>
        <v/>
      </c>
      <c r="AS16" s="67">
        <f>AA16+AD16+AG16+AJ16+AM16+AP16</f>
        <v/>
      </c>
      <c r="AT16" s="93">
        <f>AS16/AR16</f>
        <v/>
      </c>
      <c r="AU16" s="67">
        <f>W16+AR16</f>
        <v/>
      </c>
      <c r="AV16" s="67">
        <f>X16+AS16</f>
        <v/>
      </c>
      <c r="AW16" s="98">
        <f>AV16/AU16</f>
        <v/>
      </c>
      <c r="BA16" s="54" t="n"/>
    </row>
    <row r="17" ht="80.25" customHeight="1" s="154">
      <c r="B17" s="224" t="inlineStr">
        <is>
          <t>小計</t>
        </is>
      </c>
      <c r="C17" s="206" t="n"/>
      <c r="D17" s="207" t="n"/>
      <c r="E17" s="81">
        <f>SUM(E14:E16)</f>
        <v/>
      </c>
      <c r="F17" s="83">
        <f>SUM(F14:F16)</f>
        <v/>
      </c>
      <c r="G17" s="93">
        <f>F17/E17</f>
        <v/>
      </c>
      <c r="H17" s="82">
        <f>SUM(H14:H16)</f>
        <v/>
      </c>
      <c r="I17" s="83">
        <f>SUM(I14:I16)</f>
        <v/>
      </c>
      <c r="J17" s="93">
        <f>I17/H17</f>
        <v/>
      </c>
      <c r="K17" s="83">
        <f>SUM(K14:K16)</f>
        <v/>
      </c>
      <c r="L17" s="83">
        <f>SUM(L14:L16)</f>
        <v/>
      </c>
      <c r="M17" s="93">
        <f>L17/K17</f>
        <v/>
      </c>
      <c r="N17" s="83">
        <f>SUM(N14:N16)</f>
        <v/>
      </c>
      <c r="O17" s="83">
        <f>SUM(O14:O16)</f>
        <v/>
      </c>
      <c r="P17" s="93">
        <f>O17/N17</f>
        <v/>
      </c>
      <c r="Q17" s="83">
        <f>SUM(Q14:Q16)</f>
        <v/>
      </c>
      <c r="R17" s="83">
        <f>SUM(R14:R16)</f>
        <v/>
      </c>
      <c r="S17" s="93">
        <f>R17/Q17</f>
        <v/>
      </c>
      <c r="T17" s="83">
        <f>SUM(T14:T16)</f>
        <v/>
      </c>
      <c r="U17" s="83">
        <f>SUM(U14:U16)</f>
        <v/>
      </c>
      <c r="V17" s="93">
        <f>U17/T17</f>
        <v/>
      </c>
      <c r="W17" s="83">
        <f>SUM(W14:W16)</f>
        <v/>
      </c>
      <c r="X17" s="83">
        <f>SUM(X14:X16)</f>
        <v/>
      </c>
      <c r="Y17" s="93">
        <f>X17/W17</f>
        <v/>
      </c>
      <c r="Z17" s="83">
        <f>SUM(Z14:Z16)</f>
        <v/>
      </c>
      <c r="AA17" s="83">
        <f>SUM(AA14:AA16)</f>
        <v/>
      </c>
      <c r="AB17" s="93">
        <f>AA17/Z17</f>
        <v/>
      </c>
      <c r="AC17" s="83">
        <f>SUM(AC14:AC16)</f>
        <v/>
      </c>
      <c r="AD17" s="83">
        <f>SUM(AD14:AD16)</f>
        <v/>
      </c>
      <c r="AE17" s="93">
        <f>AD17/AC17</f>
        <v/>
      </c>
      <c r="AF17" s="83">
        <f>SUM(AF14:AF16)</f>
        <v/>
      </c>
      <c r="AG17" s="83">
        <f>SUM(AG14:AG16)</f>
        <v/>
      </c>
      <c r="AH17" s="93">
        <f>AG17/AF17</f>
        <v/>
      </c>
      <c r="AI17" s="83">
        <f>SUM(AI14:AI16)</f>
        <v/>
      </c>
      <c r="AJ17" s="83">
        <f>SUM(AJ14:AJ16)</f>
        <v/>
      </c>
      <c r="AK17" s="93">
        <f>AJ17/AI17</f>
        <v/>
      </c>
      <c r="AL17" s="83">
        <f>SUM(AL14:AL16)</f>
        <v/>
      </c>
      <c r="AM17" s="83">
        <f>SUM(AM14:AM16)</f>
        <v/>
      </c>
      <c r="AN17" s="93">
        <f>AM17/AL17</f>
        <v/>
      </c>
      <c r="AO17" s="83">
        <f>SUM(AO14:AO16)</f>
        <v/>
      </c>
      <c r="AP17" s="83">
        <f>SUM(AP14:AP16)</f>
        <v/>
      </c>
      <c r="AQ17" s="93">
        <f>AP17/AO17</f>
        <v/>
      </c>
      <c r="AR17" s="83">
        <f>SUM(AR14:AR16)</f>
        <v/>
      </c>
      <c r="AS17" s="83">
        <f>SUM(AS14:AS16)</f>
        <v/>
      </c>
      <c r="AT17" s="93">
        <f>AS17/AR17</f>
        <v/>
      </c>
      <c r="AU17" s="83">
        <f>SUM(AU14:AU16)</f>
        <v/>
      </c>
      <c r="AV17" s="83">
        <f>SUM(AV14:AV16)</f>
        <v/>
      </c>
      <c r="AW17" s="98">
        <f>AV17/AU17</f>
        <v/>
      </c>
      <c r="AX17" s="191" t="n"/>
      <c r="AY17" s="191" t="n"/>
      <c r="BA17" s="54" t="n"/>
    </row>
    <row r="18" ht="80.25" customHeight="1" s="154">
      <c r="B18" s="213" t="inlineStr">
        <is>
          <t>内部紹介</t>
        </is>
      </c>
      <c r="C18" s="202" t="n"/>
      <c r="D18" s="203" t="n"/>
      <c r="E18" s="109" t="inlineStr">
        <is>
          <t>目標</t>
        </is>
      </c>
      <c r="F18" s="110" t="inlineStr">
        <is>
          <t>実績</t>
        </is>
      </c>
      <c r="G18" s="111" t="inlineStr">
        <is>
          <t>達成率</t>
        </is>
      </c>
      <c r="H18" s="112" t="inlineStr">
        <is>
          <t>目標</t>
        </is>
      </c>
      <c r="I18" s="113" t="inlineStr">
        <is>
          <t>実績</t>
        </is>
      </c>
      <c r="J18" s="111" t="inlineStr">
        <is>
          <t>達成率</t>
        </is>
      </c>
      <c r="K18" s="113" t="inlineStr">
        <is>
          <t>目標</t>
        </is>
      </c>
      <c r="L18" s="113" t="inlineStr">
        <is>
          <t>実績</t>
        </is>
      </c>
      <c r="M18" s="111" t="inlineStr">
        <is>
          <t>達成率</t>
        </is>
      </c>
      <c r="N18" s="113" t="inlineStr">
        <is>
          <t>目標</t>
        </is>
      </c>
      <c r="O18" s="113" t="inlineStr">
        <is>
          <t>実績</t>
        </is>
      </c>
      <c r="P18" s="111" t="inlineStr">
        <is>
          <t>達成率</t>
        </is>
      </c>
      <c r="Q18" s="113" t="inlineStr">
        <is>
          <t>目標</t>
        </is>
      </c>
      <c r="R18" s="113" t="inlineStr">
        <is>
          <t>実績</t>
        </is>
      </c>
      <c r="S18" s="111" t="inlineStr">
        <is>
          <t>達成率</t>
        </is>
      </c>
      <c r="T18" s="113" t="inlineStr">
        <is>
          <t>目標</t>
        </is>
      </c>
      <c r="U18" s="113" t="inlineStr">
        <is>
          <t>実績</t>
        </is>
      </c>
      <c r="V18" s="111" t="inlineStr">
        <is>
          <t>達成率</t>
        </is>
      </c>
      <c r="W18" s="113" t="inlineStr">
        <is>
          <t>目標</t>
        </is>
      </c>
      <c r="X18" s="113" t="inlineStr">
        <is>
          <t>実績</t>
        </is>
      </c>
      <c r="Y18" s="111" t="inlineStr">
        <is>
          <t>達成率</t>
        </is>
      </c>
      <c r="Z18" s="113" t="inlineStr">
        <is>
          <t>目標</t>
        </is>
      </c>
      <c r="AA18" s="113" t="inlineStr">
        <is>
          <t>実績</t>
        </is>
      </c>
      <c r="AB18" s="111" t="inlineStr">
        <is>
          <t>達成率</t>
        </is>
      </c>
      <c r="AC18" s="113" t="inlineStr">
        <is>
          <t>目標</t>
        </is>
      </c>
      <c r="AD18" s="113" t="inlineStr">
        <is>
          <t>実績</t>
        </is>
      </c>
      <c r="AE18" s="111" t="inlineStr">
        <is>
          <t>達成率</t>
        </is>
      </c>
      <c r="AF18" s="113" t="inlineStr">
        <is>
          <t>目標</t>
        </is>
      </c>
      <c r="AG18" s="113" t="inlineStr">
        <is>
          <t>実績</t>
        </is>
      </c>
      <c r="AH18" s="111" t="inlineStr">
        <is>
          <t>達成率</t>
        </is>
      </c>
      <c r="AI18" s="113" t="inlineStr">
        <is>
          <t>目標</t>
        </is>
      </c>
      <c r="AJ18" s="113" t="inlineStr">
        <is>
          <t>実績</t>
        </is>
      </c>
      <c r="AK18" s="111" t="inlineStr">
        <is>
          <t>達成率</t>
        </is>
      </c>
      <c r="AL18" s="113" t="inlineStr">
        <is>
          <t>目標</t>
        </is>
      </c>
      <c r="AM18" s="113" t="inlineStr">
        <is>
          <t>実績</t>
        </is>
      </c>
      <c r="AN18" s="111" t="inlineStr">
        <is>
          <t>達成率</t>
        </is>
      </c>
      <c r="AO18" s="113" t="inlineStr">
        <is>
          <t>目標</t>
        </is>
      </c>
      <c r="AP18" s="113" t="inlineStr">
        <is>
          <t>実績</t>
        </is>
      </c>
      <c r="AQ18" s="111" t="inlineStr">
        <is>
          <t>達成率</t>
        </is>
      </c>
      <c r="AR18" s="113" t="inlineStr">
        <is>
          <t>目標</t>
        </is>
      </c>
      <c r="AS18" s="113" t="inlineStr">
        <is>
          <t>実績</t>
        </is>
      </c>
      <c r="AT18" s="111" t="inlineStr">
        <is>
          <t>達成率</t>
        </is>
      </c>
      <c r="AU18" s="113" t="inlineStr">
        <is>
          <t>目標</t>
        </is>
      </c>
      <c r="AV18" s="113" t="inlineStr">
        <is>
          <t>実績</t>
        </is>
      </c>
      <c r="AW18" s="111" t="inlineStr">
        <is>
          <t>達成率</t>
        </is>
      </c>
      <c r="AX18" s="191" t="n"/>
      <c r="AY18" s="191" t="n"/>
      <c r="BA18" s="54" t="n"/>
    </row>
    <row r="19" ht="80.25" customHeight="1" s="154">
      <c r="B19" s="214" t="inlineStr">
        <is>
          <t>技人国　　　　　　　　　　　　　　　　　　　　　N１／３０％　N2／２０％　N3／１５％</t>
        </is>
      </c>
      <c r="C19" s="199" t="n"/>
      <c r="D19" s="200" t="n"/>
      <c r="E19" s="74" t="n"/>
      <c r="F19" s="67" t="n"/>
      <c r="G19" s="93">
        <f>F19/E19</f>
        <v/>
      </c>
      <c r="H19" s="71" t="n"/>
      <c r="I19" s="67" t="n">
        <v>400</v>
      </c>
      <c r="J19" s="93">
        <f>I19/H19</f>
        <v/>
      </c>
      <c r="K19" s="67" t="n"/>
      <c r="L19" s="67" t="n">
        <v>800</v>
      </c>
      <c r="M19" s="93">
        <f>L19/K19</f>
        <v/>
      </c>
      <c r="N19" s="67" t="n"/>
      <c r="O19" s="67" t="n"/>
      <c r="P19" s="93">
        <f>O19/N19</f>
        <v/>
      </c>
      <c r="Q19" s="67" t="n"/>
      <c r="R19" s="67" t="n">
        <v>0</v>
      </c>
      <c r="S19" s="93">
        <f>R19/Q19</f>
        <v/>
      </c>
      <c r="T19" s="67" t="n"/>
      <c r="U19" s="67" t="n"/>
      <c r="V19" s="93">
        <f>U19/T19</f>
        <v/>
      </c>
      <c r="W19" s="67">
        <f>E19+H19+K19+N19+Q19+T19</f>
        <v/>
      </c>
      <c r="X19" s="67">
        <f>F19+I19+L19+O19+R19+U19</f>
        <v/>
      </c>
      <c r="Y19" s="93">
        <f>X19/W19</f>
        <v/>
      </c>
      <c r="Z19" s="67" t="n"/>
      <c r="AA19" s="67" t="n"/>
      <c r="AB19" s="93">
        <f>AA19/Z19</f>
        <v/>
      </c>
      <c r="AC19" s="67" t="n"/>
      <c r="AD19" s="67" t="n"/>
      <c r="AE19" s="93">
        <f>AD19/AC19</f>
        <v/>
      </c>
      <c r="AF19" s="67" t="n"/>
      <c r="AG19" s="67" t="n"/>
      <c r="AH19" s="93">
        <f>AG19/AF19</f>
        <v/>
      </c>
      <c r="AI19" s="67" t="n"/>
      <c r="AJ19" s="67" t="n"/>
      <c r="AK19" s="93">
        <f>AJ19/AI19</f>
        <v/>
      </c>
      <c r="AL19" s="67" t="n"/>
      <c r="AM19" s="67" t="n"/>
      <c r="AN19" s="93">
        <f>AM19/AL19</f>
        <v/>
      </c>
      <c r="AO19" s="67" t="n"/>
      <c r="AP19" s="67" t="n"/>
      <c r="AQ19" s="93">
        <f>AP19/AO19</f>
        <v/>
      </c>
      <c r="AR19" s="67">
        <f>Z19+AC19+AF19+AI19+AL19+AO19</f>
        <v/>
      </c>
      <c r="AS19" s="67">
        <f>AA19+AD19+AG19+AJ19+AM19+AP19</f>
        <v/>
      </c>
      <c r="AT19" s="93">
        <f>AS19/AR19</f>
        <v/>
      </c>
      <c r="AU19" s="67">
        <f>W19+AR19</f>
        <v/>
      </c>
      <c r="AV19" s="67">
        <f>X19+AS19</f>
        <v/>
      </c>
      <c r="AW19" s="98">
        <f>AV19/AU19</f>
        <v/>
      </c>
      <c r="AX19" s="191" t="n"/>
      <c r="AY19" s="191" t="n"/>
      <c r="BA19" s="54" t="n"/>
    </row>
    <row r="20" ht="80.25" customHeight="1" s="154">
      <c r="B20" s="198" t="inlineStr">
        <is>
          <t>特定技能（一律２0万）✕　〇人</t>
        </is>
      </c>
      <c r="C20" s="199" t="n"/>
      <c r="D20" s="200" t="n"/>
      <c r="E20" s="74" t="n">
        <v>3000</v>
      </c>
      <c r="F20" s="67" t="n">
        <v>800</v>
      </c>
      <c r="G20" s="93">
        <f>F20/E20</f>
        <v/>
      </c>
      <c r="H20" s="71" t="n">
        <v>3000</v>
      </c>
      <c r="I20" s="67" t="n">
        <v>2400</v>
      </c>
      <c r="J20" s="93">
        <f>I20/H20</f>
        <v/>
      </c>
      <c r="K20" s="67" t="n">
        <v>3000</v>
      </c>
      <c r="L20" s="67" t="n">
        <v>2400</v>
      </c>
      <c r="M20" s="93">
        <f>L20/K20</f>
        <v/>
      </c>
      <c r="N20" s="67" t="n">
        <v>3000</v>
      </c>
      <c r="O20" s="67" t="n">
        <v>1000</v>
      </c>
      <c r="P20" s="93">
        <f>O20/N20</f>
        <v/>
      </c>
      <c r="Q20" s="67" t="n">
        <v>3000</v>
      </c>
      <c r="R20" s="67" t="n">
        <v>600</v>
      </c>
      <c r="S20" s="93">
        <f>R20/Q20</f>
        <v/>
      </c>
      <c r="T20" s="67" t="n">
        <v>3000</v>
      </c>
      <c r="U20" s="67" t="n"/>
      <c r="V20" s="93">
        <f>U20/T20</f>
        <v/>
      </c>
      <c r="W20" s="67">
        <f>E20+H20+K20+N20+Q20+T20</f>
        <v/>
      </c>
      <c r="X20" s="67">
        <f>F20+I20+L20+O20+R20+U20</f>
        <v/>
      </c>
      <c r="Y20" s="93">
        <f>X20/W20</f>
        <v/>
      </c>
      <c r="Z20" s="67" t="n">
        <v>3000</v>
      </c>
      <c r="AA20" s="67" t="n"/>
      <c r="AB20" s="93">
        <f>AA20/Z20</f>
        <v/>
      </c>
      <c r="AC20" s="67" t="n">
        <v>3000</v>
      </c>
      <c r="AD20" s="67" t="n"/>
      <c r="AE20" s="93">
        <f>AD20/AC20</f>
        <v/>
      </c>
      <c r="AF20" s="67" t="n">
        <v>3000</v>
      </c>
      <c r="AG20" s="67" t="n"/>
      <c r="AH20" s="93">
        <f>AG20/AF20</f>
        <v/>
      </c>
      <c r="AI20" s="67" t="n">
        <v>3000</v>
      </c>
      <c r="AJ20" s="67" t="n"/>
      <c r="AK20" s="93">
        <f>AJ20/AI20</f>
        <v/>
      </c>
      <c r="AL20" s="67" t="n">
        <v>3000</v>
      </c>
      <c r="AM20" s="67" t="n"/>
      <c r="AN20" s="93">
        <f>AM20/AL20</f>
        <v/>
      </c>
      <c r="AO20" s="67" t="n">
        <v>3000</v>
      </c>
      <c r="AP20" s="67" t="n"/>
      <c r="AQ20" s="93">
        <f>AP20/AO20</f>
        <v/>
      </c>
      <c r="AR20" s="67">
        <f>Z20+AC20+AF20+AI20+AL20+AO20</f>
        <v/>
      </c>
      <c r="AS20" s="67">
        <f>AA20+AD20+AG20+AJ20+AM20+AP20</f>
        <v/>
      </c>
      <c r="AT20" s="93">
        <f>AS20/AR20</f>
        <v/>
      </c>
      <c r="AU20" s="67">
        <f>W20+AR20</f>
        <v/>
      </c>
      <c r="AV20" s="67">
        <f>X20+AS20</f>
        <v/>
      </c>
      <c r="AW20" s="98">
        <f>AV20/AU20</f>
        <v/>
      </c>
      <c r="AX20" s="191" t="n"/>
      <c r="AY20" s="191" t="n"/>
      <c r="BA20" s="54" t="n"/>
    </row>
    <row r="21" ht="80.25" customHeight="1" s="154">
      <c r="B21" s="198" t="inlineStr">
        <is>
          <t>アルバイト(3万円／人）</t>
        </is>
      </c>
      <c r="C21" s="199" t="n"/>
      <c r="D21" s="200" t="n"/>
      <c r="E21" s="74" t="n"/>
      <c r="F21" s="67" t="n">
        <v>720</v>
      </c>
      <c r="G21" s="93">
        <f>F21/E21</f>
        <v/>
      </c>
      <c r="H21" s="71" t="n"/>
      <c r="I21" s="67" t="n">
        <v>390</v>
      </c>
      <c r="J21" s="93">
        <f>I21/H21</f>
        <v/>
      </c>
      <c r="K21" s="67" t="n"/>
      <c r="L21" s="67" t="n">
        <v>450</v>
      </c>
      <c r="M21" s="93">
        <f>L21/K21</f>
        <v/>
      </c>
      <c r="N21" s="67" t="n"/>
      <c r="O21" s="67" t="n">
        <v>210</v>
      </c>
      <c r="P21" s="93">
        <f>O21/N21</f>
        <v/>
      </c>
      <c r="Q21" s="67" t="n"/>
      <c r="R21" s="67" t="n">
        <v>660</v>
      </c>
      <c r="S21" s="93">
        <f>R21/Q21</f>
        <v/>
      </c>
      <c r="T21" s="67" t="n"/>
      <c r="U21" s="67" t="n"/>
      <c r="V21" s="93">
        <f>U21/T21</f>
        <v/>
      </c>
      <c r="W21" s="67">
        <f>E21+H21+K21+N21+Q21+T21</f>
        <v/>
      </c>
      <c r="X21" s="67">
        <f>F21+I21+L21+O21+R21+U21</f>
        <v/>
      </c>
      <c r="Y21" s="93">
        <f>X21/W21</f>
        <v/>
      </c>
      <c r="Z21" s="67" t="n"/>
      <c r="AA21" s="67" t="n"/>
      <c r="AB21" s="93">
        <f>AA21/Z21</f>
        <v/>
      </c>
      <c r="AC21" s="67" t="n"/>
      <c r="AD21" s="67" t="n"/>
      <c r="AE21" s="93">
        <f>AD21/AC21</f>
        <v/>
      </c>
      <c r="AF21" s="67" t="n"/>
      <c r="AG21" s="67" t="n"/>
      <c r="AH21" s="93">
        <f>AG21/AF21</f>
        <v/>
      </c>
      <c r="AI21" s="67" t="n"/>
      <c r="AJ21" s="67" t="n"/>
      <c r="AK21" s="93">
        <f>AJ21/AI21</f>
        <v/>
      </c>
      <c r="AL21" s="67" t="n"/>
      <c r="AM21" s="67" t="n"/>
      <c r="AN21" s="93">
        <f>AM21/AL21</f>
        <v/>
      </c>
      <c r="AO21" s="67" t="n"/>
      <c r="AP21" s="67" t="n"/>
      <c r="AQ21" s="93">
        <f>AP21/AO21</f>
        <v/>
      </c>
      <c r="AR21" s="67">
        <f>Z21+AC21+AF21+AI21+AL21+AO21</f>
        <v/>
      </c>
      <c r="AS21" s="67">
        <f>AA21+AD21+AG21+AJ21+AM21+AP21</f>
        <v/>
      </c>
      <c r="AT21" s="93">
        <f>AS21/AR21</f>
        <v/>
      </c>
      <c r="AU21" s="67">
        <f>W21+AR21</f>
        <v/>
      </c>
      <c r="AV21" s="67">
        <f>X21+AS21</f>
        <v/>
      </c>
      <c r="AW21" s="98">
        <f>AV21/AU21</f>
        <v/>
      </c>
      <c r="AX21" s="191" t="n"/>
      <c r="AY21" s="191" t="n"/>
      <c r="BA21" s="54" t="n"/>
    </row>
    <row r="22" ht="80.25" customHeight="1" s="154">
      <c r="B22" s="215" t="inlineStr">
        <is>
          <t>支援人数(1万円／人）</t>
        </is>
      </c>
      <c r="C22" s="216" t="n"/>
      <c r="D22" s="217" t="n"/>
      <c r="E22" s="74" t="n">
        <v>1500</v>
      </c>
      <c r="F22" s="67" t="n">
        <v>1550</v>
      </c>
      <c r="G22" s="93">
        <f>F22/E22</f>
        <v/>
      </c>
      <c r="H22" s="71" t="n">
        <v>1500</v>
      </c>
      <c r="I22" s="67" t="n">
        <v>1630</v>
      </c>
      <c r="J22" s="93">
        <f>I22/H22</f>
        <v/>
      </c>
      <c r="K22" s="67" t="n">
        <v>1500</v>
      </c>
      <c r="L22" s="67" t="n">
        <v>1760</v>
      </c>
      <c r="M22" s="93">
        <f>L22/K22</f>
        <v/>
      </c>
      <c r="N22" s="67" t="n">
        <v>1500</v>
      </c>
      <c r="O22" s="67" t="n">
        <v>1850</v>
      </c>
      <c r="P22" s="93">
        <f>O22/N22</f>
        <v/>
      </c>
      <c r="Q22" s="67" t="n">
        <v>1500</v>
      </c>
      <c r="R22" s="67" t="n">
        <v>1860</v>
      </c>
      <c r="S22" s="93">
        <f>R22/Q22</f>
        <v/>
      </c>
      <c r="T22" s="67" t="n">
        <v>1500</v>
      </c>
      <c r="U22" s="67" t="n"/>
      <c r="V22" s="93">
        <f>U22/T22</f>
        <v/>
      </c>
      <c r="W22" s="67">
        <f>E22+H22+K22+N22+Q22+T22</f>
        <v/>
      </c>
      <c r="X22" s="67">
        <f>F22+I22+L22+O22+R22+U22</f>
        <v/>
      </c>
      <c r="Y22" s="93">
        <f>X22/W22</f>
        <v/>
      </c>
      <c r="Z22" s="67" t="n">
        <v>1500</v>
      </c>
      <c r="AA22" s="67" t="n"/>
      <c r="AB22" s="93">
        <f>AA22/Z22</f>
        <v/>
      </c>
      <c r="AC22" s="67" t="n">
        <v>1500</v>
      </c>
      <c r="AD22" s="67" t="n"/>
      <c r="AE22" s="93">
        <f>AD22/AC22</f>
        <v/>
      </c>
      <c r="AF22" s="67" t="n">
        <v>1500</v>
      </c>
      <c r="AG22" s="67" t="n"/>
      <c r="AH22" s="93">
        <f>AG22/AF22</f>
        <v/>
      </c>
      <c r="AI22" s="67" t="n">
        <v>1500</v>
      </c>
      <c r="AJ22" s="67" t="n"/>
      <c r="AK22" s="93">
        <f>AJ22/AI22</f>
        <v/>
      </c>
      <c r="AL22" s="67" t="n">
        <v>1500</v>
      </c>
      <c r="AM22" s="67" t="n"/>
      <c r="AN22" s="93">
        <f>AM22/AL22</f>
        <v/>
      </c>
      <c r="AO22" s="67" t="n">
        <v>1500</v>
      </c>
      <c r="AP22" s="67" t="n"/>
      <c r="AQ22" s="93">
        <f>AP22/AO22</f>
        <v/>
      </c>
      <c r="AR22" s="67">
        <f>Z22+AC22+AF22+AI22+AL22+AO22</f>
        <v/>
      </c>
      <c r="AS22" s="67">
        <f>AA22+AD22+AG22+AJ22+AM22+AP22</f>
        <v/>
      </c>
      <c r="AT22" s="93">
        <f>AS22/AR22</f>
        <v/>
      </c>
      <c r="AU22" s="67">
        <f>W22+AR22</f>
        <v/>
      </c>
      <c r="AV22" s="67">
        <f>X22+AS22</f>
        <v/>
      </c>
      <c r="AW22" s="98">
        <f>AV22/AU22</f>
        <v/>
      </c>
      <c r="AX22" s="191" t="n"/>
      <c r="AY22" s="191" t="n"/>
      <c r="BA22" s="54" t="n"/>
    </row>
    <row r="23" ht="104" customHeight="1" s="154">
      <c r="B23" s="223" t="inlineStr">
        <is>
          <t>小計</t>
        </is>
      </c>
      <c r="C23" s="187" t="n"/>
      <c r="D23" s="188" t="n"/>
      <c r="E23" s="99">
        <f>SUM(E19:E22)</f>
        <v/>
      </c>
      <c r="F23" s="91">
        <f>SUM(F19:F22)</f>
        <v/>
      </c>
      <c r="G23" s="88">
        <f>F23/E23</f>
        <v/>
      </c>
      <c r="H23" s="82">
        <f>SUM(H19:H22)</f>
        <v/>
      </c>
      <c r="I23" s="83">
        <f>SUM(I19:I22)</f>
        <v/>
      </c>
      <c r="J23" s="88">
        <f>I23/H23</f>
        <v/>
      </c>
      <c r="K23" s="83">
        <f>SUM(K19:K22)</f>
        <v/>
      </c>
      <c r="L23" s="83">
        <f>SUM(L19:L22)</f>
        <v/>
      </c>
      <c r="M23" s="88">
        <f>L23/K23</f>
        <v/>
      </c>
      <c r="N23" s="83">
        <f>SUM(N19:N22)</f>
        <v/>
      </c>
      <c r="O23" s="87">
        <f>SUM(O19:O22)</f>
        <v/>
      </c>
      <c r="P23" s="88">
        <f>O23/N23</f>
        <v/>
      </c>
      <c r="Q23" s="87">
        <f>SUM(Q19:Q22)</f>
        <v/>
      </c>
      <c r="R23" s="83">
        <f>SUM(R19:R22)</f>
        <v/>
      </c>
      <c r="S23" s="88">
        <f>R23/Q23</f>
        <v/>
      </c>
      <c r="T23" s="100">
        <f>SUM(T19:T22)</f>
        <v/>
      </c>
      <c r="U23" s="83">
        <f>SUM(U19:U22)</f>
        <v/>
      </c>
      <c r="V23" s="88">
        <f>U23/T23</f>
        <v/>
      </c>
      <c r="W23" s="82">
        <f>SUM(W19:W22)</f>
        <v/>
      </c>
      <c r="X23" s="83">
        <f>SUM(X19:X22)</f>
        <v/>
      </c>
      <c r="Y23" s="101">
        <f>X23/W23</f>
        <v/>
      </c>
      <c r="Z23" s="83">
        <f>SUM(Z19:Z22)</f>
        <v/>
      </c>
      <c r="AA23" s="83">
        <f>SUM(AA19:AA22)</f>
        <v/>
      </c>
      <c r="AB23" s="88">
        <f>AA23/Z23</f>
        <v/>
      </c>
      <c r="AC23" s="83">
        <f>SUM(AC19:AC22)</f>
        <v/>
      </c>
      <c r="AD23" s="83">
        <f>SUM(AD19:AD22)</f>
        <v/>
      </c>
      <c r="AE23" s="88">
        <f>AD23/AC23</f>
        <v/>
      </c>
      <c r="AF23" s="83">
        <f>SUM(AF19:AF22)</f>
        <v/>
      </c>
      <c r="AG23" s="83">
        <f>SUM(AG19:AG22)</f>
        <v/>
      </c>
      <c r="AH23" s="88">
        <f>AG23/AF23</f>
        <v/>
      </c>
      <c r="AI23" s="83">
        <f>SUM(AI19:AI22)</f>
        <v/>
      </c>
      <c r="AJ23" s="83">
        <f>SUM(AJ19:AJ22)</f>
        <v/>
      </c>
      <c r="AK23" s="88">
        <f>AJ23/AI23</f>
        <v/>
      </c>
      <c r="AL23" s="83">
        <f>SUM(AL19:AL22)</f>
        <v/>
      </c>
      <c r="AM23" s="83">
        <f>SUM(AM19:AM22)</f>
        <v/>
      </c>
      <c r="AN23" s="88">
        <f>AM23/AL23</f>
        <v/>
      </c>
      <c r="AO23" s="83">
        <f>SUM(AO19:AO22)</f>
        <v/>
      </c>
      <c r="AP23" s="83">
        <f>SUM(AP19:AP22)</f>
        <v/>
      </c>
      <c r="AQ23" s="88">
        <f>AP23/AO23</f>
        <v/>
      </c>
      <c r="AR23" s="83">
        <f>SUM(AR19:AR22)</f>
        <v/>
      </c>
      <c r="AS23" s="83">
        <f>SUM(AS19:AS22)</f>
        <v/>
      </c>
      <c r="AT23" s="101">
        <f>AS23/AR23</f>
        <v/>
      </c>
      <c r="AU23" s="83">
        <f>SUM(AU19:AU22)</f>
        <v/>
      </c>
      <c r="AV23" s="83">
        <f>SUM(AV19:AV22)</f>
        <v/>
      </c>
      <c r="AW23" s="102">
        <f>AV23/AU23</f>
        <v/>
      </c>
    </row>
    <row r="24" ht="141.75" customFormat="1" customHeight="1" s="181">
      <c r="A24" s="64" t="n"/>
      <c r="O24" s="80" t="n"/>
      <c r="AU24" s="84" t="n"/>
      <c r="AV24" s="84" t="n"/>
      <c r="AW24" s="84" t="n"/>
    </row>
    <row r="25" ht="80.25" customHeight="1" s="154">
      <c r="B25" s="210" t="n"/>
      <c r="C25" s="210" t="n"/>
      <c r="D25" s="210" t="n"/>
      <c r="E25" s="210" t="n"/>
      <c r="G25" s="210" t="n"/>
      <c r="H25" s="210" t="n"/>
      <c r="I25" s="210" t="n"/>
      <c r="J25" s="210" t="n"/>
      <c r="K25" s="210" t="n"/>
      <c r="L25" s="210" t="n"/>
      <c r="M25" s="210" t="n"/>
      <c r="N25" s="210" t="n"/>
      <c r="O25" s="210" t="n"/>
      <c r="P25" s="210" t="n"/>
      <c r="Q25" s="210" t="n"/>
      <c r="R25" s="210" t="n"/>
      <c r="S25" s="210" t="n"/>
      <c r="T25" s="210" t="n"/>
      <c r="U25" s="210" t="n"/>
      <c r="V25" s="210" t="n"/>
      <c r="W25" s="210" t="n"/>
      <c r="X25" s="210" t="n"/>
      <c r="Y25" s="210" t="n"/>
      <c r="Z25" s="210" t="n"/>
      <c r="AA25" s="210" t="n"/>
      <c r="AB25" s="210" t="n"/>
      <c r="AC25" s="210" t="n"/>
      <c r="AD25" s="210" t="n"/>
      <c r="AE25" s="210" t="n"/>
      <c r="AF25" s="210" t="n"/>
      <c r="AG25" s="210" t="n"/>
      <c r="AH25" s="210" t="n"/>
      <c r="AI25" s="210" t="n"/>
      <c r="AJ25" s="210" t="n"/>
      <c r="AK25" s="210" t="n"/>
      <c r="AL25" s="210" t="n"/>
      <c r="AM25" s="210" t="n"/>
      <c r="AN25" s="210" t="n"/>
      <c r="AO25" s="210" t="n"/>
      <c r="AP25" s="210" t="n"/>
      <c r="AQ25" s="210" t="n"/>
      <c r="AR25" s="210" t="n"/>
      <c r="AS25" s="210" t="n"/>
      <c r="AT25" s="210" t="n"/>
      <c r="AU25" s="210" t="n"/>
      <c r="AV25" s="210" t="n"/>
      <c r="AW25" s="210" t="n"/>
    </row>
    <row r="26" ht="20.25" customFormat="1" customHeight="1" s="192">
      <c r="A26" s="54" t="n"/>
      <c r="B26" s="55" t="n"/>
      <c r="E26" s="191" t="n"/>
      <c r="F26" s="191" t="n"/>
      <c r="G26" s="191" t="n"/>
      <c r="H26" s="191" t="n"/>
      <c r="I26" s="211" t="n"/>
      <c r="J26" s="191" t="n"/>
      <c r="K26" s="211" t="n"/>
      <c r="L26" s="191" t="n"/>
      <c r="M26" s="191" t="n"/>
      <c r="N26" s="191" t="n"/>
      <c r="O26" s="191" t="n"/>
      <c r="P26" s="191" t="n"/>
      <c r="Q26" s="191" t="n"/>
      <c r="R26" s="191" t="n"/>
      <c r="S26" s="191" t="n"/>
      <c r="T26" s="191" t="n"/>
      <c r="U26" s="191" t="n"/>
      <c r="V26" s="191" t="n"/>
      <c r="W26" s="191" t="n"/>
      <c r="X26" s="191" t="n"/>
      <c r="Y26" s="211" t="n"/>
      <c r="Z26" s="191" t="n"/>
      <c r="AA26" s="191" t="n"/>
      <c r="AB26" s="191" t="n"/>
      <c r="AC26" s="191" t="n"/>
      <c r="AD26" s="211" t="n"/>
      <c r="AE26" s="191" t="n"/>
      <c r="AF26" s="211" t="n"/>
      <c r="AG26" s="191" t="n"/>
      <c r="AH26" s="191" t="n"/>
      <c r="AI26" s="191" t="n"/>
      <c r="AJ26" s="191" t="n"/>
      <c r="AK26" s="191" t="n"/>
      <c r="AL26" s="191" t="n"/>
      <c r="AM26" s="191" t="n"/>
      <c r="AN26" s="191" t="n"/>
      <c r="AO26" s="191" t="n"/>
      <c r="AP26" s="191" t="n"/>
      <c r="AQ26" s="191" t="n"/>
      <c r="AR26" s="191" t="n"/>
      <c r="AS26" s="191" t="n"/>
      <c r="AT26" s="211" t="n"/>
      <c r="AU26" s="191" t="n"/>
      <c r="AV26" s="191" t="n"/>
      <c r="AW26" s="66" t="n"/>
      <c r="BB26" s="59" t="n"/>
      <c r="BC26" s="59" t="n"/>
      <c r="BD26" s="59" t="n"/>
      <c r="BE26" s="59" t="n"/>
      <c r="BF26" s="59" t="n"/>
      <c r="BG26" s="59" t="n"/>
    </row>
    <row r="27" ht="20.25" customFormat="1" customHeight="1" s="192">
      <c r="A27" s="54" t="n"/>
      <c r="B27" s="55" t="n"/>
      <c r="E27" s="191" t="n"/>
      <c r="F27" s="191" t="n"/>
      <c r="G27" s="191" t="n"/>
      <c r="H27" s="191" t="n"/>
      <c r="I27" s="211" t="n"/>
      <c r="J27" s="191" t="n"/>
      <c r="K27" s="211" t="n"/>
      <c r="L27" s="191" t="n"/>
      <c r="M27" s="191" t="n"/>
      <c r="N27" s="191" t="n"/>
      <c r="O27" s="191" t="n"/>
      <c r="P27" s="191" t="n"/>
      <c r="Q27" s="191" t="n"/>
      <c r="R27" s="191" t="n"/>
      <c r="S27" s="191" t="n"/>
      <c r="T27" s="191" t="n"/>
      <c r="U27" s="191" t="n"/>
      <c r="V27" s="191" t="n"/>
      <c r="W27" s="191" t="n"/>
      <c r="X27" s="191" t="n"/>
      <c r="Y27" s="211" t="n"/>
      <c r="Z27" s="191" t="n"/>
      <c r="AA27" s="191" t="n"/>
      <c r="AB27" s="191" t="n"/>
      <c r="AC27" s="191" t="n"/>
      <c r="AD27" s="211" t="n"/>
      <c r="AE27" s="191" t="n"/>
      <c r="AF27" s="211" t="n"/>
      <c r="AG27" s="191" t="n"/>
      <c r="AH27" s="191" t="n"/>
      <c r="AI27" s="191" t="n"/>
      <c r="AJ27" s="191" t="n"/>
      <c r="AK27" s="191" t="n"/>
      <c r="AL27" s="191" t="n"/>
      <c r="AM27" s="191" t="n"/>
      <c r="AN27" s="191" t="n"/>
      <c r="AO27" s="191" t="n"/>
      <c r="AP27" s="191" t="n"/>
      <c r="AQ27" s="191" t="n"/>
      <c r="AR27" s="191" t="n"/>
      <c r="AS27" s="191" t="n"/>
      <c r="AT27" s="211" t="n"/>
      <c r="AU27" s="191" t="n"/>
      <c r="AV27" s="191" t="n"/>
      <c r="AW27" s="66" t="n"/>
      <c r="BB27" s="59" t="n"/>
      <c r="BC27" s="59" t="n"/>
      <c r="BD27" s="59" t="n"/>
      <c r="BE27" s="59" t="n"/>
      <c r="BF27" s="59" t="n"/>
      <c r="BG27" s="59" t="n"/>
    </row>
    <row r="28" ht="20.25" customFormat="1" customHeight="1" s="192">
      <c r="A28" s="54" t="n"/>
      <c r="B28" s="55" t="n"/>
      <c r="E28" s="191" t="n"/>
      <c r="F28" s="191" t="n"/>
      <c r="G28" s="191" t="n"/>
      <c r="H28" s="191" t="n"/>
      <c r="I28" s="211" t="n"/>
      <c r="J28" s="191" t="n"/>
      <c r="K28" s="211" t="n"/>
      <c r="L28" s="211" t="n"/>
      <c r="M28" s="191" t="n"/>
      <c r="N28" s="211" t="n"/>
      <c r="O28" s="211" t="n"/>
      <c r="P28" s="191" t="n"/>
      <c r="Q28" s="211" t="n"/>
      <c r="R28" s="211" t="n"/>
      <c r="S28" s="191" t="n"/>
      <c r="T28" s="211" t="n"/>
      <c r="U28" s="211" t="n"/>
      <c r="V28" s="191" t="n"/>
      <c r="W28" s="211" t="n"/>
      <c r="X28" s="211" t="n"/>
      <c r="Y28" s="211" t="n"/>
      <c r="Z28" s="191" t="n"/>
      <c r="AA28" s="191" t="n"/>
      <c r="AB28" s="191" t="n"/>
      <c r="AC28" s="191" t="n"/>
      <c r="AD28" s="211" t="n"/>
      <c r="AE28" s="191" t="n"/>
      <c r="AF28" s="211" t="n"/>
      <c r="AG28" s="211" t="n"/>
      <c r="AH28" s="191" t="n"/>
      <c r="AI28" s="211" t="n"/>
      <c r="AJ28" s="211" t="n"/>
      <c r="AK28" s="191" t="n"/>
      <c r="AL28" s="211" t="n"/>
      <c r="AM28" s="211" t="n"/>
      <c r="AN28" s="191" t="n"/>
      <c r="AO28" s="211" t="n"/>
      <c r="AP28" s="211" t="n"/>
      <c r="AQ28" s="191" t="n"/>
      <c r="AR28" s="211" t="n"/>
      <c r="AS28" s="211" t="n"/>
      <c r="AT28" s="211" t="n"/>
      <c r="AU28" s="211" t="n"/>
      <c r="AV28" s="211" t="n"/>
      <c r="AW28" s="66" t="n"/>
      <c r="BB28" s="59" t="n"/>
      <c r="BC28" s="59" t="n"/>
      <c r="BD28" s="59" t="n"/>
      <c r="BE28" s="59" t="n"/>
      <c r="BF28" s="59" t="n"/>
      <c r="BG28" s="59" t="n"/>
    </row>
    <row r="29" ht="20.25" customFormat="1" customHeight="1" s="192">
      <c r="A29" s="54" t="n"/>
      <c r="B29" s="55" t="n"/>
      <c r="C29" s="56" t="n"/>
      <c r="D29" s="56" t="n"/>
      <c r="E29" s="211" t="n"/>
      <c r="F29" s="211" t="n"/>
      <c r="G29" s="211" t="n"/>
      <c r="H29" s="211" t="n"/>
      <c r="I29" s="211" t="n"/>
      <c r="J29" s="211" t="n"/>
      <c r="K29" s="211" t="n"/>
      <c r="L29" s="211" t="n"/>
      <c r="M29" s="211" t="n"/>
      <c r="N29" s="211" t="n"/>
      <c r="O29" s="211" t="n"/>
      <c r="P29" s="211" t="n"/>
      <c r="Q29" s="211" t="n"/>
      <c r="R29" s="211" t="n"/>
      <c r="S29" s="211" t="n"/>
      <c r="T29" s="211" t="n"/>
      <c r="U29" s="211" t="n"/>
      <c r="V29" s="211" t="n"/>
      <c r="W29" s="211" t="n"/>
      <c r="X29" s="211" t="n"/>
      <c r="Y29" s="211" t="n"/>
      <c r="Z29" s="211" t="n"/>
      <c r="AA29" s="211" t="n"/>
      <c r="AB29" s="211" t="n"/>
      <c r="AC29" s="211" t="n"/>
      <c r="AD29" s="211" t="n"/>
      <c r="AE29" s="211" t="n"/>
      <c r="AF29" s="211" t="n"/>
      <c r="AG29" s="211" t="n"/>
      <c r="AH29" s="211" t="n"/>
      <c r="AI29" s="211" t="n"/>
      <c r="AJ29" s="211" t="n"/>
      <c r="AK29" s="211" t="n"/>
      <c r="AL29" s="211" t="n"/>
      <c r="AM29" s="211" t="n"/>
      <c r="AN29" s="211" t="n"/>
      <c r="AO29" s="211" t="n"/>
      <c r="AP29" s="211" t="n"/>
      <c r="AQ29" s="211" t="n"/>
      <c r="AR29" s="211" t="n"/>
      <c r="AS29" s="211" t="n"/>
      <c r="AT29" s="211" t="n"/>
      <c r="AU29" s="211" t="n"/>
      <c r="AV29" s="211" t="n"/>
      <c r="AW29" s="66" t="n"/>
      <c r="BB29" s="59" t="n"/>
      <c r="BC29" s="59" t="n"/>
      <c r="BD29" s="59" t="n"/>
      <c r="BE29" s="59" t="n"/>
      <c r="BF29" s="59" t="n"/>
      <c r="BG29" s="59" t="n"/>
    </row>
    <row r="30" ht="20.25" customFormat="1" customHeight="1" s="192">
      <c r="A30" s="54" t="n"/>
      <c r="B30" s="55" t="n"/>
      <c r="C30" s="56" t="n"/>
      <c r="D30" s="56" t="n"/>
      <c r="E30" s="211" t="n"/>
      <c r="F30" s="211" t="n"/>
      <c r="G30" s="211" t="n"/>
      <c r="H30" s="211" t="n"/>
      <c r="I30" s="211" t="n"/>
      <c r="J30" s="211" t="n"/>
      <c r="K30" s="211" t="n"/>
      <c r="L30" s="191" t="n"/>
      <c r="M30" s="211" t="n"/>
      <c r="N30" s="211" t="n"/>
      <c r="O30" s="211" t="n"/>
      <c r="P30" s="211" t="n"/>
      <c r="Q30" s="211" t="n"/>
      <c r="R30" s="211" t="n"/>
      <c r="S30" s="211" t="n"/>
      <c r="T30" s="211" t="n"/>
      <c r="U30" s="211" t="n"/>
      <c r="V30" s="211" t="n"/>
      <c r="W30" s="211" t="n"/>
      <c r="X30" s="211" t="n"/>
      <c r="Y30" s="211" t="n"/>
      <c r="Z30" s="211" t="n"/>
      <c r="AA30" s="211" t="n"/>
      <c r="AB30" s="211" t="n"/>
      <c r="AC30" s="211" t="n"/>
      <c r="AD30" s="211" t="n"/>
      <c r="AE30" s="211" t="n"/>
      <c r="AF30" s="211" t="n"/>
      <c r="AG30" s="191" t="n"/>
      <c r="AH30" s="211" t="n"/>
      <c r="AI30" s="211" t="n"/>
      <c r="AJ30" s="211" t="n"/>
      <c r="AK30" s="211" t="n"/>
      <c r="AL30" s="211" t="n"/>
      <c r="AM30" s="211" t="n"/>
      <c r="AN30" s="211" t="n"/>
      <c r="AO30" s="211" t="n"/>
      <c r="AP30" s="211" t="n"/>
      <c r="AQ30" s="211" t="n"/>
      <c r="AR30" s="211" t="n"/>
      <c r="AS30" s="211" t="n"/>
      <c r="AT30" s="211" t="n"/>
      <c r="AU30" s="211" t="n"/>
      <c r="AV30" s="211" t="n"/>
      <c r="AW30" s="66" t="n"/>
      <c r="BB30" s="59" t="n"/>
      <c r="BC30" s="59" t="n"/>
      <c r="BD30" s="59" t="n"/>
      <c r="BE30" s="59" t="n"/>
      <c r="BF30" s="59" t="n"/>
      <c r="BG30" s="59" t="n"/>
    </row>
    <row r="31" ht="20.25" customFormat="1" customHeight="1" s="192">
      <c r="A31" s="54" t="n"/>
      <c r="B31" s="55" t="n"/>
      <c r="C31" s="56" t="n"/>
      <c r="D31" s="56" t="n"/>
      <c r="E31" s="211" t="n"/>
      <c r="F31" s="211" t="n"/>
      <c r="G31" s="211" t="n"/>
      <c r="H31" s="211" t="n"/>
      <c r="I31" s="211" t="n"/>
      <c r="J31" s="211" t="n"/>
      <c r="K31" s="211" t="n"/>
      <c r="L31" s="211" t="n"/>
      <c r="M31" s="211" t="n"/>
      <c r="N31" s="211" t="n"/>
      <c r="O31" s="211" t="n"/>
      <c r="P31" s="211" t="n"/>
      <c r="Q31" s="211" t="n"/>
      <c r="R31" s="211" t="n"/>
      <c r="S31" s="211" t="n"/>
      <c r="T31" s="211" t="n"/>
      <c r="U31" s="211" t="n"/>
      <c r="V31" s="211" t="n"/>
      <c r="W31" s="211" t="n"/>
      <c r="X31" s="211" t="n"/>
      <c r="Y31" s="211" t="n"/>
      <c r="Z31" s="211" t="n"/>
      <c r="AA31" s="211" t="n"/>
      <c r="AB31" s="211" t="n"/>
      <c r="AC31" s="211" t="n"/>
      <c r="AD31" s="211" t="n"/>
      <c r="AE31" s="211" t="n"/>
      <c r="AF31" s="211" t="n"/>
      <c r="AG31" s="211" t="n"/>
      <c r="AH31" s="211" t="n"/>
      <c r="AI31" s="211" t="n"/>
      <c r="AJ31" s="211" t="n"/>
      <c r="AK31" s="211" t="n"/>
      <c r="AL31" s="211" t="n"/>
      <c r="AM31" s="211" t="n"/>
      <c r="AN31" s="211" t="n"/>
      <c r="AO31" s="211" t="n"/>
      <c r="AP31" s="211" t="n"/>
      <c r="AQ31" s="211" t="n"/>
      <c r="AR31" s="211" t="n"/>
      <c r="AS31" s="211" t="n"/>
      <c r="AT31" s="211" t="n"/>
      <c r="AU31" s="211" t="n"/>
      <c r="AV31" s="211" t="n"/>
      <c r="AW31" s="66" t="n"/>
      <c r="BB31" s="59" t="n"/>
      <c r="BC31" s="59" t="n"/>
      <c r="BD31" s="59" t="n"/>
      <c r="BE31" s="59" t="n"/>
      <c r="BF31" s="59" t="n"/>
      <c r="BG31" s="59" t="n"/>
    </row>
    <row r="32" ht="20.25" customFormat="1" customHeight="1" s="192">
      <c r="A32" s="54" t="n"/>
      <c r="B32" s="55" t="n"/>
      <c r="C32" s="56" t="n"/>
      <c r="D32" s="56" t="n"/>
      <c r="E32" s="211" t="n"/>
      <c r="F32" s="211" t="n"/>
      <c r="G32" s="211" t="n"/>
      <c r="H32" s="211" t="n"/>
      <c r="I32" s="211" t="n"/>
      <c r="J32" s="211" t="n"/>
      <c r="K32" s="211" t="n"/>
      <c r="L32" s="211" t="n"/>
      <c r="M32" s="211" t="n"/>
      <c r="N32" s="211" t="n"/>
      <c r="O32" s="211" t="n"/>
      <c r="P32" s="211" t="n"/>
      <c r="Q32" s="211" t="n"/>
      <c r="R32" s="211" t="n"/>
      <c r="S32" s="211" t="n"/>
      <c r="T32" s="211" t="n"/>
      <c r="U32" s="211" t="n"/>
      <c r="V32" s="211" t="n"/>
      <c r="W32" s="211" t="n"/>
      <c r="X32" s="211" t="n"/>
      <c r="Y32" s="211" t="n"/>
      <c r="Z32" s="211" t="n"/>
      <c r="AA32" s="211" t="n"/>
      <c r="AB32" s="211" t="n"/>
      <c r="AC32" s="211" t="n"/>
      <c r="AD32" s="211" t="n"/>
      <c r="AE32" s="211" t="n"/>
      <c r="AF32" s="211" t="n"/>
      <c r="AG32" s="211" t="n"/>
      <c r="AH32" s="211" t="n"/>
      <c r="AI32" s="211" t="n"/>
      <c r="AJ32" s="211" t="n"/>
      <c r="AK32" s="211" t="n"/>
      <c r="AL32" s="211" t="n"/>
      <c r="AM32" s="211" t="n"/>
      <c r="AN32" s="211" t="n"/>
      <c r="AO32" s="211" t="n"/>
      <c r="AP32" s="211" t="n"/>
      <c r="AQ32" s="211" t="n"/>
      <c r="AR32" s="211" t="n"/>
      <c r="AS32" s="211" t="n"/>
      <c r="AT32" s="211" t="n"/>
      <c r="AU32" s="211" t="n"/>
      <c r="AV32" s="211" t="n"/>
      <c r="AW32" s="66" t="n"/>
      <c r="BB32" s="59" t="n"/>
      <c r="BC32" s="59" t="n"/>
      <c r="BD32" s="59" t="n"/>
      <c r="BE32" s="59" t="n"/>
      <c r="BF32" s="59" t="n"/>
      <c r="BG32" s="59" t="n"/>
    </row>
  </sheetData>
  <mergeCells count="44">
    <mergeCell ref="E25:F25"/>
    <mergeCell ref="B17:D17"/>
    <mergeCell ref="B18:D18"/>
    <mergeCell ref="B19:D19"/>
    <mergeCell ref="B20:D20"/>
    <mergeCell ref="B21:D21"/>
    <mergeCell ref="B22:D22"/>
    <mergeCell ref="B14:D14"/>
    <mergeCell ref="AX14:AX16"/>
    <mergeCell ref="B15:D15"/>
    <mergeCell ref="B16:D16"/>
    <mergeCell ref="B23:D23"/>
    <mergeCell ref="B11:D11"/>
    <mergeCell ref="B12:D12"/>
    <mergeCell ref="AX12:AY12"/>
    <mergeCell ref="B10:D10"/>
    <mergeCell ref="B13:D13"/>
    <mergeCell ref="AU4:AW4"/>
    <mergeCell ref="B6:D6"/>
    <mergeCell ref="Z4:AB4"/>
    <mergeCell ref="AC4:AE4"/>
    <mergeCell ref="AX8:AX9"/>
    <mergeCell ref="B9:D9"/>
    <mergeCell ref="B7:D7"/>
    <mergeCell ref="B8:D8"/>
    <mergeCell ref="B5:D5"/>
    <mergeCell ref="T4:V4"/>
    <mergeCell ref="W4:Y4"/>
    <mergeCell ref="A2:D2"/>
    <mergeCell ref="AY2:AZ2"/>
    <mergeCell ref="B3:D3"/>
    <mergeCell ref="AX3:AY3"/>
    <mergeCell ref="B4:D4"/>
    <mergeCell ref="E4:G4"/>
    <mergeCell ref="H4:J4"/>
    <mergeCell ref="K4:M4"/>
    <mergeCell ref="N4:P4"/>
    <mergeCell ref="Q4:S4"/>
    <mergeCell ref="AX4:AY4"/>
    <mergeCell ref="AF4:AH4"/>
    <mergeCell ref="AI4:AK4"/>
    <mergeCell ref="AL4:AN4"/>
    <mergeCell ref="AO4:AQ4"/>
    <mergeCell ref="AR4:AT4"/>
  </mergeCells>
  <printOptions horizontalCentered="1"/>
  <pageMargins left="0.393700787401575" right="0.393700787401575" top="0.590551181102362" bottom="0.393700787401575" header="0.393700787401575" footer="0.196850393700787"/>
  <pageSetup orientation="landscape" paperSize="8" scale="21"/>
  <headerFooter>
    <oddHeader>&amp;R&amp;"HG丸ｺﾞｼｯｸM-PRO,標準"&amp;14 ＳＨＣ</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tabColor rgb="FF7030A0"/>
    <outlinePr summaryBelow="1" summaryRight="1"/>
    <pageSetUpPr fitToPage="1"/>
  </sheetPr>
  <dimension ref="A1:BG32"/>
  <sheetViews>
    <sheetView showGridLines="0" view="pageBreakPreview" topLeftCell="B1" zoomScale="40" zoomScaleNormal="100" zoomScaleSheetLayoutView="40" zoomScalePageLayoutView="80" workbookViewId="0">
      <pane xSplit="3" ySplit="6" topLeftCell="E7" activePane="bottomRight" state="frozen"/>
      <selection activeCell="B1" sqref="B1"/>
      <selection pane="topRight" activeCell="E1" sqref="E1"/>
      <selection pane="bottomLeft" activeCell="B6" sqref="B6"/>
      <selection pane="bottomRight" activeCell="L14" sqref="L14"/>
    </sheetView>
  </sheetViews>
  <sheetFormatPr baseColWidth="8" defaultColWidth="9" defaultRowHeight="20.25" customHeight="1" outlineLevelRow="1"/>
  <cols>
    <col width="9" customWidth="1" style="54" min="1" max="1"/>
    <col width="20.59765625" customWidth="1" style="55" min="2" max="2"/>
    <col width="20.59765625" customWidth="1" style="56" min="3" max="4"/>
    <col width="18.265625" customWidth="1" style="211" min="5" max="8"/>
    <col width="16.1328125" customWidth="1" style="211" min="9" max="9"/>
    <col width="18.265625" customWidth="1" style="211" min="10" max="22"/>
    <col width="23.33203125" bestFit="1" customWidth="1" style="211" min="23" max="23"/>
    <col width="18.265625" customWidth="1" style="211" min="24" max="43"/>
    <col width="23.33203125" bestFit="1" customWidth="1" style="211" min="44" max="44"/>
    <col width="18.265625" customWidth="1" style="211" min="45" max="46"/>
    <col width="23.33203125" bestFit="1" customWidth="1" style="211" min="47" max="47"/>
    <col width="18.265625" customWidth="1" style="211" min="48" max="48"/>
    <col width="18.265625" customWidth="1" style="66" min="49" max="49"/>
    <col width="10.06640625" customWidth="1" style="192" min="50" max="51"/>
    <col width="12.33203125" customWidth="1" style="192" min="52" max="52"/>
    <col width="2.33203125" customWidth="1" style="192" min="53" max="53"/>
    <col width="9" customWidth="1" style="59" min="54" max="58"/>
    <col width="25.796875" customWidth="1" style="59" min="59" max="59"/>
    <col width="9" customWidth="1" style="59" min="60" max="61"/>
    <col width="9" customWidth="1" style="59" min="62" max="16384"/>
  </cols>
  <sheetData>
    <row r="1" ht="20.25" customHeight="1" s="154">
      <c r="AW1" s="211" t="n"/>
    </row>
    <row r="2" ht="80.25" customFormat="1" customHeight="1" s="181">
      <c r="A2" s="180" t="inlineStr">
        <is>
          <t>2025年通期</t>
        </is>
      </c>
      <c r="E2" s="60" t="n"/>
      <c r="F2" s="60" t="n"/>
      <c r="G2" s="60" t="n"/>
      <c r="H2" s="60" t="n"/>
      <c r="I2" s="60" t="n"/>
      <c r="J2" s="60" t="n"/>
      <c r="K2" s="60" t="n"/>
      <c r="L2" s="60" t="n"/>
      <c r="M2" s="60" t="n"/>
      <c r="N2" s="60" t="n"/>
      <c r="O2" s="60" t="n"/>
      <c r="P2" s="60" t="n"/>
      <c r="Q2" s="60" t="n"/>
      <c r="R2" s="60" t="n"/>
      <c r="S2" s="60" t="n"/>
      <c r="T2" s="60" t="n"/>
      <c r="U2" s="60" t="n"/>
      <c r="V2" s="60" t="n"/>
      <c r="W2" s="60" t="n"/>
      <c r="X2" s="60" t="n"/>
      <c r="Y2" s="60" t="n"/>
      <c r="Z2" s="60" t="n"/>
      <c r="AA2" s="60" t="n"/>
      <c r="AB2" s="60" t="n"/>
      <c r="AC2" s="60" t="n"/>
      <c r="AD2" s="60" t="n"/>
      <c r="AE2" s="60" t="n"/>
      <c r="AF2" s="60" t="n"/>
      <c r="AG2" s="60" t="n"/>
      <c r="AH2" s="60" t="n"/>
      <c r="AI2" s="60" t="n"/>
      <c r="AJ2" s="60" t="n"/>
      <c r="AK2" s="60" t="n"/>
      <c r="AL2" s="60" t="n"/>
      <c r="AM2" s="60" t="n"/>
      <c r="AN2" s="60" t="n"/>
      <c r="AO2" s="60" t="n"/>
      <c r="AP2" s="60" t="n"/>
      <c r="AQ2" s="60" t="n"/>
      <c r="AR2" s="60" t="n"/>
      <c r="AS2" s="60" t="n"/>
      <c r="AT2" s="60" t="n"/>
      <c r="AU2" s="60" t="n"/>
      <c r="AV2" s="60" t="n"/>
      <c r="AW2" s="60" t="n"/>
      <c r="AX2" s="61" t="n"/>
      <c r="AY2" s="182" t="n"/>
      <c r="BA2" s="62" t="n"/>
    </row>
    <row r="3" ht="80.25" customFormat="1" customHeight="1" s="181">
      <c r="A3" s="64" t="n"/>
      <c r="B3" s="183" t="inlineStr">
        <is>
          <t>紹介状況・目標</t>
        </is>
      </c>
      <c r="C3" s="184" t="n"/>
      <c r="D3" s="184" t="n"/>
      <c r="E3" s="60" t="n"/>
      <c r="F3" s="60" t="n"/>
      <c r="G3" s="60" t="n"/>
      <c r="H3" s="60" t="n"/>
      <c r="I3" s="60" t="n"/>
      <c r="J3" s="60" t="n"/>
      <c r="K3" s="60" t="n"/>
      <c r="L3" s="60" t="n"/>
      <c r="M3" s="60" t="n"/>
      <c r="N3" s="60" t="n"/>
      <c r="O3" s="60" t="n"/>
      <c r="P3" s="60" t="n"/>
      <c r="Q3" s="60" t="n"/>
      <c r="R3" s="60" t="n"/>
      <c r="S3" s="60" t="n"/>
      <c r="T3" s="60" t="n"/>
      <c r="U3" s="60" t="n"/>
      <c r="V3" s="60" t="n"/>
      <c r="W3" s="60" t="n"/>
      <c r="X3" s="60" t="n"/>
      <c r="Y3" s="60" t="n"/>
      <c r="Z3" s="60" t="n"/>
      <c r="AA3" s="60" t="n"/>
      <c r="AB3" s="60" t="n"/>
      <c r="AC3" s="60" t="n"/>
      <c r="AD3" s="60" t="n"/>
      <c r="AE3" s="60" t="n"/>
      <c r="AF3" s="60" t="n"/>
      <c r="AG3" s="60" t="n"/>
      <c r="AH3" s="60" t="n"/>
      <c r="AI3" s="60" t="n"/>
      <c r="AJ3" s="60" t="n"/>
      <c r="AK3" s="60" t="n"/>
      <c r="AL3" s="60" t="n"/>
      <c r="AM3" s="60" t="n"/>
      <c r="AN3" s="60" t="n"/>
      <c r="AO3" s="60" t="n"/>
      <c r="AP3" s="60" t="n"/>
      <c r="AQ3" s="60" t="n"/>
      <c r="AR3" s="60" t="n"/>
      <c r="AS3" s="60" t="n"/>
      <c r="AT3" s="60" t="n"/>
      <c r="AU3" s="60" t="n"/>
      <c r="AV3" s="60" t="n"/>
      <c r="AW3" s="60" t="inlineStr">
        <is>
          <t>単位(千円）</t>
        </is>
      </c>
      <c r="AX3" s="185" t="n"/>
    </row>
    <row r="4" ht="76.05" customHeight="1" s="154">
      <c r="B4" s="186" t="n"/>
      <c r="C4" s="187" t="n"/>
      <c r="D4" s="188" t="n"/>
      <c r="E4" s="189" t="inlineStr">
        <is>
          <t>４月</t>
        </is>
      </c>
      <c r="F4" s="187" t="n"/>
      <c r="G4" s="190" t="n"/>
      <c r="H4" s="189" t="inlineStr">
        <is>
          <t>5月</t>
        </is>
      </c>
      <c r="I4" s="187" t="n"/>
      <c r="J4" s="190" t="n"/>
      <c r="K4" s="189" t="inlineStr">
        <is>
          <t>6月</t>
        </is>
      </c>
      <c r="L4" s="187" t="n"/>
      <c r="M4" s="190" t="n"/>
      <c r="N4" s="189" t="inlineStr">
        <is>
          <t>7月</t>
        </is>
      </c>
      <c r="O4" s="187" t="n"/>
      <c r="P4" s="190" t="n"/>
      <c r="Q4" s="189" t="inlineStr">
        <is>
          <t>8月</t>
        </is>
      </c>
      <c r="R4" s="187" t="n"/>
      <c r="S4" s="190" t="n"/>
      <c r="T4" s="189" t="inlineStr">
        <is>
          <t>9月</t>
        </is>
      </c>
      <c r="U4" s="187" t="n"/>
      <c r="V4" s="190" t="n"/>
      <c r="W4" s="193" t="inlineStr">
        <is>
          <t xml:space="preserve">上期 </t>
        </is>
      </c>
      <c r="X4" s="187" t="n"/>
      <c r="Y4" s="190" t="n"/>
      <c r="Z4" s="189" t="inlineStr">
        <is>
          <t>10月</t>
        </is>
      </c>
      <c r="AA4" s="187" t="n"/>
      <c r="AB4" s="190" t="n"/>
      <c r="AC4" s="189" t="inlineStr">
        <is>
          <t>11月</t>
        </is>
      </c>
      <c r="AD4" s="187" t="n"/>
      <c r="AE4" s="190" t="n"/>
      <c r="AF4" s="189" t="inlineStr">
        <is>
          <t>12月</t>
        </is>
      </c>
      <c r="AG4" s="187" t="n"/>
      <c r="AH4" s="190" t="n"/>
      <c r="AI4" s="189" t="inlineStr">
        <is>
          <t>1月</t>
        </is>
      </c>
      <c r="AJ4" s="187" t="n"/>
      <c r="AK4" s="190" t="n"/>
      <c r="AL4" s="189" t="inlineStr">
        <is>
          <t>2月</t>
        </is>
      </c>
      <c r="AM4" s="187" t="n"/>
      <c r="AN4" s="190" t="n"/>
      <c r="AO4" s="189" t="inlineStr">
        <is>
          <t>3月</t>
        </is>
      </c>
      <c r="AP4" s="187" t="n"/>
      <c r="AQ4" s="190" t="n"/>
      <c r="AR4" s="193" t="inlineStr">
        <is>
          <t>下期</t>
        </is>
      </c>
      <c r="AS4" s="187" t="n"/>
      <c r="AT4" s="190" t="n"/>
      <c r="AU4" s="219" t="inlineStr">
        <is>
          <t>総合計</t>
        </is>
      </c>
      <c r="AV4" s="187" t="n"/>
      <c r="AW4" s="190" t="n"/>
      <c r="AX4" s="191" t="n"/>
      <c r="AZ4" s="191" t="n"/>
      <c r="BA4" s="191" t="n"/>
    </row>
    <row r="5" ht="88.5" customHeight="1" s="154">
      <c r="B5" s="204" t="n"/>
      <c r="C5" s="187" t="n"/>
      <c r="D5" s="190" t="n"/>
      <c r="E5" s="94" t="inlineStr">
        <is>
          <t>目標</t>
        </is>
      </c>
      <c r="F5" s="95" t="inlineStr">
        <is>
          <t>実績</t>
        </is>
      </c>
      <c r="G5" s="96" t="inlineStr">
        <is>
          <t>達成率</t>
        </is>
      </c>
      <c r="H5" s="94" t="inlineStr">
        <is>
          <t>目標</t>
        </is>
      </c>
      <c r="I5" s="95" t="inlineStr">
        <is>
          <t>実績</t>
        </is>
      </c>
      <c r="J5" s="96" t="inlineStr">
        <is>
          <t>達成率</t>
        </is>
      </c>
      <c r="K5" s="94" t="inlineStr">
        <is>
          <t>目標</t>
        </is>
      </c>
      <c r="L5" s="95" t="inlineStr">
        <is>
          <t>実績</t>
        </is>
      </c>
      <c r="M5" s="96" t="inlineStr">
        <is>
          <t>達成率</t>
        </is>
      </c>
      <c r="N5" s="94" t="inlineStr">
        <is>
          <t>目標</t>
        </is>
      </c>
      <c r="O5" s="95" t="inlineStr">
        <is>
          <t>実績</t>
        </is>
      </c>
      <c r="P5" s="96" t="inlineStr">
        <is>
          <t>達成率</t>
        </is>
      </c>
      <c r="Q5" s="94" t="inlineStr">
        <is>
          <t>目標</t>
        </is>
      </c>
      <c r="R5" s="95" t="inlineStr">
        <is>
          <t>実績</t>
        </is>
      </c>
      <c r="S5" s="96" t="inlineStr">
        <is>
          <t>達成率</t>
        </is>
      </c>
      <c r="T5" s="94" t="inlineStr">
        <is>
          <t>目標</t>
        </is>
      </c>
      <c r="U5" s="95" t="inlineStr">
        <is>
          <t>実績</t>
        </is>
      </c>
      <c r="V5" s="96" t="inlineStr">
        <is>
          <t>達成率</t>
        </is>
      </c>
      <c r="W5" s="94" t="inlineStr">
        <is>
          <t>目標</t>
        </is>
      </c>
      <c r="X5" s="95" t="inlineStr">
        <is>
          <t>実績</t>
        </is>
      </c>
      <c r="Y5" s="96" t="inlineStr">
        <is>
          <t>達成率</t>
        </is>
      </c>
      <c r="Z5" s="94" t="inlineStr">
        <is>
          <t>目標</t>
        </is>
      </c>
      <c r="AA5" s="95" t="inlineStr">
        <is>
          <t>実績</t>
        </is>
      </c>
      <c r="AB5" s="96" t="inlineStr">
        <is>
          <t>達成率</t>
        </is>
      </c>
      <c r="AC5" s="94" t="inlineStr">
        <is>
          <t>目標</t>
        </is>
      </c>
      <c r="AD5" s="95" t="inlineStr">
        <is>
          <t>実績</t>
        </is>
      </c>
      <c r="AE5" s="96" t="inlineStr">
        <is>
          <t>達成率</t>
        </is>
      </c>
      <c r="AF5" s="94" t="inlineStr">
        <is>
          <t>目標</t>
        </is>
      </c>
      <c r="AG5" s="95" t="inlineStr">
        <is>
          <t>実績</t>
        </is>
      </c>
      <c r="AH5" s="96" t="inlineStr">
        <is>
          <t>達成率</t>
        </is>
      </c>
      <c r="AI5" s="94" t="inlineStr">
        <is>
          <t>目標</t>
        </is>
      </c>
      <c r="AJ5" s="95" t="inlineStr">
        <is>
          <t>実績</t>
        </is>
      </c>
      <c r="AK5" s="96" t="inlineStr">
        <is>
          <t>達成率</t>
        </is>
      </c>
      <c r="AL5" s="94" t="inlineStr">
        <is>
          <t>目標</t>
        </is>
      </c>
      <c r="AM5" s="95" t="inlineStr">
        <is>
          <t>実績</t>
        </is>
      </c>
      <c r="AN5" s="96" t="inlineStr">
        <is>
          <t>達成率</t>
        </is>
      </c>
      <c r="AO5" s="94" t="inlineStr">
        <is>
          <t>目標</t>
        </is>
      </c>
      <c r="AP5" s="95" t="inlineStr">
        <is>
          <t>実績</t>
        </is>
      </c>
      <c r="AQ5" s="96" t="inlineStr">
        <is>
          <t>達成率</t>
        </is>
      </c>
      <c r="AR5" s="94" t="inlineStr">
        <is>
          <t>目標</t>
        </is>
      </c>
      <c r="AS5" s="95" t="inlineStr">
        <is>
          <t>実績</t>
        </is>
      </c>
      <c r="AT5" s="96" t="inlineStr">
        <is>
          <t>達成率</t>
        </is>
      </c>
      <c r="AU5" s="94" t="inlineStr">
        <is>
          <t>目標</t>
        </is>
      </c>
      <c r="AV5" s="95" t="inlineStr">
        <is>
          <t>実績</t>
        </is>
      </c>
      <c r="AW5" s="96" t="inlineStr">
        <is>
          <t>達成率</t>
        </is>
      </c>
      <c r="AX5" s="191" t="n"/>
      <c r="AY5" s="191" t="n"/>
      <c r="AZ5" s="191" t="n"/>
      <c r="BA5" s="191" t="n"/>
    </row>
    <row r="6" ht="99" customHeight="1" s="154">
      <c r="B6" s="220" t="inlineStr">
        <is>
          <t>総合計</t>
        </is>
      </c>
      <c r="C6" s="187" t="n"/>
      <c r="D6" s="188" t="n"/>
      <c r="E6" s="89">
        <f>E12+E17+E23</f>
        <v/>
      </c>
      <c r="F6" s="90">
        <f>F12+F17+F23</f>
        <v/>
      </c>
      <c r="G6" s="85">
        <f>F6/E6</f>
        <v/>
      </c>
      <c r="H6" s="79">
        <f>H12+H17+H23</f>
        <v/>
      </c>
      <c r="I6" s="78">
        <f>I12+I17+I23</f>
        <v/>
      </c>
      <c r="J6" s="85">
        <f>I6/H6</f>
        <v/>
      </c>
      <c r="K6" s="78">
        <f>K12+K17+K23</f>
        <v/>
      </c>
      <c r="L6" s="78">
        <f>L12+L17+L23</f>
        <v/>
      </c>
      <c r="M6" s="85">
        <f>L6/K6</f>
        <v/>
      </c>
      <c r="N6" s="78">
        <f>N12+N17+N23</f>
        <v/>
      </c>
      <c r="O6" s="78">
        <f>O12+O17+O23</f>
        <v/>
      </c>
      <c r="P6" s="85">
        <f>O6/N6</f>
        <v/>
      </c>
      <c r="Q6" s="78">
        <f>Q12+Q17+Q23</f>
        <v/>
      </c>
      <c r="R6" s="78">
        <f>R12+R17+R23</f>
        <v/>
      </c>
      <c r="S6" s="85">
        <f>R6/Q6</f>
        <v/>
      </c>
      <c r="T6" s="78">
        <f>T12+T17+T23</f>
        <v/>
      </c>
      <c r="U6" s="78">
        <f>U12+U17+U23</f>
        <v/>
      </c>
      <c r="V6" s="85">
        <f>U6/T6</f>
        <v/>
      </c>
      <c r="W6" s="78">
        <f>W12+W17+W23</f>
        <v/>
      </c>
      <c r="X6" s="78">
        <f>X12+X17+X23</f>
        <v/>
      </c>
      <c r="Y6" s="85">
        <f>X6/W6</f>
        <v/>
      </c>
      <c r="Z6" s="78">
        <f>Z12+Z17+Z23</f>
        <v/>
      </c>
      <c r="AA6" s="78">
        <f>AA12+AA17+AA23</f>
        <v/>
      </c>
      <c r="AB6" s="85">
        <f>AA6/Z6</f>
        <v/>
      </c>
      <c r="AC6" s="78">
        <f>AC12+AC17+AC23</f>
        <v/>
      </c>
      <c r="AD6" s="78">
        <f>AD12+AD17+AD23</f>
        <v/>
      </c>
      <c r="AE6" s="85">
        <f>AD6/AC6</f>
        <v/>
      </c>
      <c r="AF6" s="78">
        <f>AF12+AF17+AF23</f>
        <v/>
      </c>
      <c r="AG6" s="78">
        <f>AG12+AG17+AG23</f>
        <v/>
      </c>
      <c r="AH6" s="85">
        <f>AG6/AF6</f>
        <v/>
      </c>
      <c r="AI6" s="78">
        <f>AI12+AI17+AI23</f>
        <v/>
      </c>
      <c r="AJ6" s="78">
        <f>AJ12+AJ17+AJ23</f>
        <v/>
      </c>
      <c r="AK6" s="85">
        <f>AJ6/AI6</f>
        <v/>
      </c>
      <c r="AL6" s="78">
        <f>AL12+AL17+AL23</f>
        <v/>
      </c>
      <c r="AM6" s="78">
        <f>AM12+AM17+AM23</f>
        <v/>
      </c>
      <c r="AN6" s="85">
        <f>AM6/AL6</f>
        <v/>
      </c>
      <c r="AO6" s="78">
        <f>AO12+AO17+AO23</f>
        <v/>
      </c>
      <c r="AP6" s="78">
        <f>AP12+AP17+AP23</f>
        <v/>
      </c>
      <c r="AQ6" s="85">
        <f>AP6/AO6</f>
        <v/>
      </c>
      <c r="AR6" s="78">
        <f>AR12+AR17+AR23</f>
        <v/>
      </c>
      <c r="AS6" s="78">
        <f>AS12+AS17+AS23</f>
        <v/>
      </c>
      <c r="AT6" s="85">
        <f>AS6/AR6</f>
        <v/>
      </c>
      <c r="AU6" s="78">
        <f>AU12+AU17+AU23</f>
        <v/>
      </c>
      <c r="AV6" s="78">
        <f>AV12+AV17+AV23</f>
        <v/>
      </c>
      <c r="AW6" s="97">
        <f>AV6/AU6</f>
        <v/>
      </c>
      <c r="AX6" s="191" t="n"/>
      <c r="AY6" s="191" t="n"/>
      <c r="AZ6" s="191" t="n"/>
      <c r="BA6" s="191" t="n"/>
    </row>
    <row r="7" ht="80.25" customHeight="1" s="154">
      <c r="B7" s="208" t="inlineStr">
        <is>
          <t>外部紹介</t>
        </is>
      </c>
      <c r="C7" s="202" t="n"/>
      <c r="D7" s="203" t="n"/>
      <c r="E7" s="76" t="inlineStr">
        <is>
          <t>目標</t>
        </is>
      </c>
      <c r="F7" s="92" t="inlineStr">
        <is>
          <t>実績</t>
        </is>
      </c>
      <c r="G7" s="108" t="inlineStr">
        <is>
          <t>達成率</t>
        </is>
      </c>
      <c r="H7" s="73" t="inlineStr">
        <is>
          <t>目標</t>
        </is>
      </c>
      <c r="I7" s="68" t="inlineStr">
        <is>
          <t>実績</t>
        </is>
      </c>
      <c r="J7" s="108" t="inlineStr">
        <is>
          <t>達成率</t>
        </is>
      </c>
      <c r="K7" s="68" t="inlineStr">
        <is>
          <t>目標</t>
        </is>
      </c>
      <c r="L7" s="68" t="inlineStr">
        <is>
          <t>実績</t>
        </is>
      </c>
      <c r="M7" s="108" t="inlineStr">
        <is>
          <t>達成率</t>
        </is>
      </c>
      <c r="N7" s="68" t="inlineStr">
        <is>
          <t>目標</t>
        </is>
      </c>
      <c r="O7" s="68" t="inlineStr">
        <is>
          <t>実績</t>
        </is>
      </c>
      <c r="P7" s="108" t="inlineStr">
        <is>
          <t>達成率</t>
        </is>
      </c>
      <c r="Q7" s="68" t="inlineStr">
        <is>
          <t>目標</t>
        </is>
      </c>
      <c r="R7" s="68" t="inlineStr">
        <is>
          <t>実績</t>
        </is>
      </c>
      <c r="S7" s="108" t="inlineStr">
        <is>
          <t>達成率</t>
        </is>
      </c>
      <c r="T7" s="68" t="inlineStr">
        <is>
          <t>目標</t>
        </is>
      </c>
      <c r="U7" s="68" t="inlineStr">
        <is>
          <t>実績</t>
        </is>
      </c>
      <c r="V7" s="108" t="inlineStr">
        <is>
          <t>達成率</t>
        </is>
      </c>
      <c r="W7" s="68" t="inlineStr">
        <is>
          <t>目標</t>
        </is>
      </c>
      <c r="X7" s="68" t="inlineStr">
        <is>
          <t>実績</t>
        </is>
      </c>
      <c r="Y7" s="108" t="inlineStr">
        <is>
          <t>達成率</t>
        </is>
      </c>
      <c r="Z7" s="68" t="inlineStr">
        <is>
          <t>目標</t>
        </is>
      </c>
      <c r="AA7" s="68" t="inlineStr">
        <is>
          <t>実績</t>
        </is>
      </c>
      <c r="AB7" s="108" t="inlineStr">
        <is>
          <t>達成率</t>
        </is>
      </c>
      <c r="AC7" s="68" t="inlineStr">
        <is>
          <t>目標</t>
        </is>
      </c>
      <c r="AD7" s="68" t="inlineStr">
        <is>
          <t>実績</t>
        </is>
      </c>
      <c r="AE7" s="108" t="inlineStr">
        <is>
          <t>達成率</t>
        </is>
      </c>
      <c r="AF7" s="68" t="inlineStr">
        <is>
          <t>目標</t>
        </is>
      </c>
      <c r="AG7" s="68" t="inlineStr">
        <is>
          <t>実績</t>
        </is>
      </c>
      <c r="AH7" s="108" t="inlineStr">
        <is>
          <t>達成率</t>
        </is>
      </c>
      <c r="AI7" s="68" t="inlineStr">
        <is>
          <t>目標</t>
        </is>
      </c>
      <c r="AJ7" s="68" t="inlineStr">
        <is>
          <t>実績</t>
        </is>
      </c>
      <c r="AK7" s="108" t="inlineStr">
        <is>
          <t>達成率</t>
        </is>
      </c>
      <c r="AL7" s="68" t="inlineStr">
        <is>
          <t>目標</t>
        </is>
      </c>
      <c r="AM7" s="68" t="inlineStr">
        <is>
          <t>実績</t>
        </is>
      </c>
      <c r="AN7" s="108" t="inlineStr">
        <is>
          <t>達成率</t>
        </is>
      </c>
      <c r="AO7" s="68" t="inlineStr">
        <is>
          <t>目標</t>
        </is>
      </c>
      <c r="AP7" s="68" t="inlineStr">
        <is>
          <t>実績</t>
        </is>
      </c>
      <c r="AQ7" s="108" t="inlineStr">
        <is>
          <t>達成率</t>
        </is>
      </c>
      <c r="AR7" s="68" t="inlineStr">
        <is>
          <t>目標</t>
        </is>
      </c>
      <c r="AS7" s="68" t="inlineStr">
        <is>
          <t>実績</t>
        </is>
      </c>
      <c r="AT7" s="108" t="inlineStr">
        <is>
          <t>達成率</t>
        </is>
      </c>
      <c r="AU7" s="68" t="inlineStr">
        <is>
          <t>目標</t>
        </is>
      </c>
      <c r="AV7" s="68" t="inlineStr">
        <is>
          <t>実績</t>
        </is>
      </c>
      <c r="AW7" s="108" t="inlineStr">
        <is>
          <t>達成率</t>
        </is>
      </c>
      <c r="AX7" s="191" t="n"/>
      <c r="AY7" s="191" t="n"/>
      <c r="BA7" s="54" t="n"/>
    </row>
    <row r="8" ht="80.25" customHeight="1" s="154">
      <c r="B8" s="198" t="inlineStr">
        <is>
          <t>技人国</t>
        </is>
      </c>
      <c r="C8" s="199" t="n"/>
      <c r="D8" s="200" t="n"/>
      <c r="E8" s="74" t="n">
        <v>900</v>
      </c>
      <c r="F8" s="86" t="n">
        <v>400</v>
      </c>
      <c r="G8" s="93">
        <f>F8/E8</f>
        <v/>
      </c>
      <c r="H8" s="71" t="n">
        <v>900</v>
      </c>
      <c r="I8" s="67" t="n">
        <v>0</v>
      </c>
      <c r="J8" s="93">
        <f>I8/H8</f>
        <v/>
      </c>
      <c r="K8" s="67" t="n">
        <v>900</v>
      </c>
      <c r="L8" s="67" t="n">
        <v>0</v>
      </c>
      <c r="M8" s="93">
        <f>L8/K8</f>
        <v/>
      </c>
      <c r="N8" s="67" t="n">
        <v>900</v>
      </c>
      <c r="O8" s="67" t="n"/>
      <c r="P8" s="93">
        <f>O8/N8</f>
        <v/>
      </c>
      <c r="Q8" s="67" t="n">
        <v>900</v>
      </c>
      <c r="R8" s="67" t="n"/>
      <c r="S8" s="93">
        <f>R8/Q8</f>
        <v/>
      </c>
      <c r="T8" s="67" t="n">
        <v>900</v>
      </c>
      <c r="U8" s="67" t="n"/>
      <c r="V8" s="93">
        <f>U8/T8</f>
        <v/>
      </c>
      <c r="W8" s="67">
        <f>E8+H8+K8+N8+Q8+T8</f>
        <v/>
      </c>
      <c r="X8" s="67">
        <f>F8+I8+L8+O8+R8+U8</f>
        <v/>
      </c>
      <c r="Y8" s="93">
        <f>X8/W8</f>
        <v/>
      </c>
      <c r="Z8" s="67" t="n">
        <v>900</v>
      </c>
      <c r="AA8" s="67" t="n"/>
      <c r="AB8" s="93">
        <f>AA8/Z8</f>
        <v/>
      </c>
      <c r="AC8" s="67" t="n">
        <v>900</v>
      </c>
      <c r="AD8" s="67" t="n"/>
      <c r="AE8" s="93">
        <f>AD8/AC8</f>
        <v/>
      </c>
      <c r="AF8" s="67" t="n">
        <v>900</v>
      </c>
      <c r="AG8" s="67" t="n"/>
      <c r="AH8" s="93">
        <f>AG8/AF8</f>
        <v/>
      </c>
      <c r="AI8" s="67" t="n">
        <v>900</v>
      </c>
      <c r="AJ8" s="67" t="n"/>
      <c r="AK8" s="93">
        <f>AJ8/AI8</f>
        <v/>
      </c>
      <c r="AL8" s="67" t="n">
        <v>900</v>
      </c>
      <c r="AM8" s="67" t="n"/>
      <c r="AN8" s="93">
        <f>AM8/AL8</f>
        <v/>
      </c>
      <c r="AO8" s="67" t="n">
        <v>900</v>
      </c>
      <c r="AP8" s="67" t="n"/>
      <c r="AQ8" s="93">
        <f>AP8/AO8</f>
        <v/>
      </c>
      <c r="AR8" s="67">
        <f>SUM(Z8:AP8)</f>
        <v/>
      </c>
      <c r="AS8" s="67">
        <f>AA8+AD8+AG8+AJ8+AM8+AP8</f>
        <v/>
      </c>
      <c r="AT8" s="93">
        <f>AS8/AR8</f>
        <v/>
      </c>
      <c r="AU8" s="67">
        <f>W8+AR8</f>
        <v/>
      </c>
      <c r="AV8" s="67">
        <f>X8+AS8</f>
        <v/>
      </c>
      <c r="AW8" s="98">
        <f>AV8/AU8</f>
        <v/>
      </c>
      <c r="AX8" s="191" t="n"/>
      <c r="BA8" s="54" t="n"/>
    </row>
    <row r="9" ht="80.25" customHeight="1" s="154">
      <c r="B9" s="198" t="inlineStr">
        <is>
          <t>特定技能</t>
        </is>
      </c>
      <c r="C9" s="199" t="n"/>
      <c r="D9" s="200" t="n"/>
      <c r="E9" s="74" t="n">
        <v>200</v>
      </c>
      <c r="F9" s="67" t="n">
        <v>0</v>
      </c>
      <c r="G9" s="93">
        <f>F9/E9</f>
        <v/>
      </c>
      <c r="H9" s="71" t="n">
        <v>200</v>
      </c>
      <c r="I9" s="67" t="n">
        <v>200</v>
      </c>
      <c r="J9" s="93">
        <f>I9/H9</f>
        <v/>
      </c>
      <c r="K9" s="67" t="n">
        <v>200</v>
      </c>
      <c r="L9" s="67" t="n">
        <v>0</v>
      </c>
      <c r="M9" s="93">
        <f>L9/K9</f>
        <v/>
      </c>
      <c r="N9" s="67" t="n">
        <v>200</v>
      </c>
      <c r="O9" s="67" t="n"/>
      <c r="P9" s="93">
        <f>O9/N9</f>
        <v/>
      </c>
      <c r="Q9" s="67" t="n">
        <v>200</v>
      </c>
      <c r="R9" s="67" t="n"/>
      <c r="S9" s="93">
        <f>R9/Q9</f>
        <v/>
      </c>
      <c r="T9" s="67" t="n">
        <v>200</v>
      </c>
      <c r="U9" s="67" t="n"/>
      <c r="V9" s="93">
        <f>U9/T9</f>
        <v/>
      </c>
      <c r="W9" s="67">
        <f>E9+H9+K9+N9+Q9+T9</f>
        <v/>
      </c>
      <c r="X9" s="67">
        <f>F9+I9+L9+O9+R9+U9</f>
        <v/>
      </c>
      <c r="Y9" s="93">
        <f>X9/W9</f>
        <v/>
      </c>
      <c r="Z9" s="67" t="n">
        <v>200</v>
      </c>
      <c r="AA9" s="67" t="n"/>
      <c r="AB9" s="93">
        <f>AA9/Z9</f>
        <v/>
      </c>
      <c r="AC9" s="67" t="n">
        <v>200</v>
      </c>
      <c r="AD9" s="67" t="n"/>
      <c r="AE9" s="93">
        <f>AD9/AC9</f>
        <v/>
      </c>
      <c r="AF9" s="67" t="n">
        <v>200</v>
      </c>
      <c r="AG9" s="67" t="n"/>
      <c r="AH9" s="93">
        <f>AG9/AF9</f>
        <v/>
      </c>
      <c r="AI9" s="67" t="n">
        <v>200</v>
      </c>
      <c r="AJ9" s="67" t="n"/>
      <c r="AK9" s="93">
        <f>AJ9/AI9</f>
        <v/>
      </c>
      <c r="AL9" s="67" t="n">
        <v>200</v>
      </c>
      <c r="AM9" s="67" t="n"/>
      <c r="AN9" s="93">
        <f>AM9/AL9</f>
        <v/>
      </c>
      <c r="AO9" s="67" t="n">
        <v>200</v>
      </c>
      <c r="AP9" s="67" t="n"/>
      <c r="AQ9" s="93">
        <f>AP9/AO9</f>
        <v/>
      </c>
      <c r="AR9" s="67">
        <f>Z9+AC9+AF9+AI9+AL9+AO9</f>
        <v/>
      </c>
      <c r="AS9" s="67">
        <f>AA9+AD9+AG9+AJ9+AM9+AP9</f>
        <v/>
      </c>
      <c r="AT9" s="93">
        <f>AS9/AR9</f>
        <v/>
      </c>
      <c r="AU9" s="67">
        <f>W9+AR9</f>
        <v/>
      </c>
      <c r="AV9" s="67">
        <f>X9+AS9</f>
        <v/>
      </c>
      <c r="AW9" s="98">
        <f>AV9/AU9</f>
        <v/>
      </c>
      <c r="BA9" s="54" t="n"/>
    </row>
    <row r="10" outlineLevel="1" ht="80.25" customHeight="1" s="154">
      <c r="B10" s="198" t="inlineStr">
        <is>
          <t>アルバイト</t>
        </is>
      </c>
      <c r="C10" s="199" t="n"/>
      <c r="D10" s="200" t="n"/>
      <c r="E10" s="74" t="n"/>
      <c r="F10" s="67" t="n">
        <v>60</v>
      </c>
      <c r="G10" s="93">
        <f>F10/E10</f>
        <v/>
      </c>
      <c r="H10" s="71" t="n"/>
      <c r="I10" s="67" t="n">
        <v>0</v>
      </c>
      <c r="J10" s="93">
        <f>I10/H10</f>
        <v/>
      </c>
      <c r="K10" s="67" t="n"/>
      <c r="L10" s="67" t="n">
        <v>30</v>
      </c>
      <c r="M10" s="93">
        <f>L10/K10</f>
        <v/>
      </c>
      <c r="N10" s="67" t="n"/>
      <c r="O10" s="67" t="n"/>
      <c r="P10" s="93">
        <f>O10/N10</f>
        <v/>
      </c>
      <c r="Q10" s="67" t="n"/>
      <c r="R10" s="67" t="n"/>
      <c r="S10" s="93">
        <f>R10/Q10</f>
        <v/>
      </c>
      <c r="T10" s="67" t="n"/>
      <c r="U10" s="67" t="n"/>
      <c r="V10" s="93">
        <f>U10/T10</f>
        <v/>
      </c>
      <c r="W10" s="67">
        <f>E10+H10+K10+N10+Q10+T10</f>
        <v/>
      </c>
      <c r="X10" s="67">
        <f>F10+I10+L10+O10+R10+U10</f>
        <v/>
      </c>
      <c r="Y10" s="93">
        <f>X10/W10</f>
        <v/>
      </c>
      <c r="Z10" s="67" t="n"/>
      <c r="AA10" s="67" t="n"/>
      <c r="AB10" s="93">
        <f>AA10/Z10</f>
        <v/>
      </c>
      <c r="AC10" s="67" t="n"/>
      <c r="AD10" s="67" t="n"/>
      <c r="AE10" s="93">
        <f>AD10/AC10</f>
        <v/>
      </c>
      <c r="AF10" s="67" t="n"/>
      <c r="AG10" s="67" t="n"/>
      <c r="AH10" s="93">
        <f>AG10/AF10</f>
        <v/>
      </c>
      <c r="AI10" s="67" t="n"/>
      <c r="AJ10" s="67" t="n"/>
      <c r="AK10" s="93">
        <f>AJ10/AI10</f>
        <v/>
      </c>
      <c r="AL10" s="67" t="n"/>
      <c r="AM10" s="67" t="n"/>
      <c r="AN10" s="93">
        <f>AM10/AL10</f>
        <v/>
      </c>
      <c r="AO10" s="67" t="n"/>
      <c r="AP10" s="67" t="n"/>
      <c r="AQ10" s="93">
        <f>AP10/AO10</f>
        <v/>
      </c>
      <c r="AR10" s="67">
        <f>Z10+AC10+AF10+AI10+AL10+AO10</f>
        <v/>
      </c>
      <c r="AS10" s="67">
        <f>AA10+AD10+AG10+AJ10+AM10+AP10</f>
        <v/>
      </c>
      <c r="AT10" s="93">
        <f>AS10/AR10</f>
        <v/>
      </c>
      <c r="AU10" s="67">
        <f>W10+AR10</f>
        <v/>
      </c>
      <c r="AV10" s="67">
        <f>X10+AS10</f>
        <v/>
      </c>
      <c r="AW10" s="98">
        <f>AV10/AU10</f>
        <v/>
      </c>
      <c r="BA10" s="54" t="n"/>
    </row>
    <row r="11" outlineLevel="1" ht="80.25" customHeight="1" s="154">
      <c r="B11" s="198" t="inlineStr">
        <is>
          <t>支援業務</t>
        </is>
      </c>
      <c r="C11" s="199" t="n"/>
      <c r="D11" s="200" t="n"/>
      <c r="E11" s="75" t="n"/>
      <c r="F11" s="67" t="n">
        <v>70</v>
      </c>
      <c r="G11" s="93">
        <f>F11/E11</f>
        <v/>
      </c>
      <c r="H11" s="72" t="n"/>
      <c r="I11" s="70" t="n">
        <v>65</v>
      </c>
      <c r="J11" s="93">
        <f>I11/H11</f>
        <v/>
      </c>
      <c r="K11" s="70" t="n"/>
      <c r="L11" s="70" t="n">
        <v>65</v>
      </c>
      <c r="M11" s="93">
        <f>L11/K11</f>
        <v/>
      </c>
      <c r="N11" s="70" t="n"/>
      <c r="O11" s="70" t="n"/>
      <c r="P11" s="93">
        <f>O11/N11</f>
        <v/>
      </c>
      <c r="Q11" s="70" t="n"/>
      <c r="R11" s="70" t="n"/>
      <c r="S11" s="93">
        <f>R11/Q11</f>
        <v/>
      </c>
      <c r="T11" s="70" t="n"/>
      <c r="U11" s="70" t="n"/>
      <c r="V11" s="93">
        <f>U11/T11</f>
        <v/>
      </c>
      <c r="W11" s="70" t="n"/>
      <c r="X11" s="70">
        <f>F11+I11+L11+O11+R11+U11</f>
        <v/>
      </c>
      <c r="Y11" s="93">
        <f>X11/W11</f>
        <v/>
      </c>
      <c r="Z11" s="70" t="n"/>
      <c r="AA11" s="70" t="n"/>
      <c r="AB11" s="93">
        <f>AA11/Z11</f>
        <v/>
      </c>
      <c r="AC11" s="70" t="n"/>
      <c r="AD11" s="70" t="n"/>
      <c r="AE11" s="93">
        <f>AD11/AC11</f>
        <v/>
      </c>
      <c r="AF11" s="70" t="n"/>
      <c r="AG11" s="70" t="n"/>
      <c r="AH11" s="93">
        <f>AG11/AF11</f>
        <v/>
      </c>
      <c r="AI11" s="70" t="n"/>
      <c r="AJ11" s="70" t="n"/>
      <c r="AK11" s="93">
        <f>AJ11/AI11</f>
        <v/>
      </c>
      <c r="AL11" s="70" t="n"/>
      <c r="AM11" s="70" t="n"/>
      <c r="AN11" s="93">
        <f>AM11/AL11</f>
        <v/>
      </c>
      <c r="AO11" s="70" t="n"/>
      <c r="AP11" s="70" t="n"/>
      <c r="AQ11" s="93">
        <f>AP11/AO11</f>
        <v/>
      </c>
      <c r="AR11" s="70" t="n"/>
      <c r="AS11" s="70">
        <f>AA11+AD11+AG11+AJ11+AM11+AP11</f>
        <v/>
      </c>
      <c r="AT11" s="93">
        <f>AS11/AR11</f>
        <v/>
      </c>
      <c r="AU11" s="70">
        <f>W11+AR11</f>
        <v/>
      </c>
      <c r="AV11" s="70">
        <f>X11+AS11</f>
        <v/>
      </c>
      <c r="AW11" s="98">
        <f>AV11/AU11</f>
        <v/>
      </c>
      <c r="BA11" s="54" t="n"/>
    </row>
    <row r="12" ht="80.25" customHeight="1" s="154">
      <c r="B12" s="221" t="inlineStr">
        <is>
          <t>小計</t>
        </is>
      </c>
      <c r="C12" s="206" t="n"/>
      <c r="D12" s="207" t="n"/>
      <c r="E12" s="81">
        <f>E8+E9+E10+E11</f>
        <v/>
      </c>
      <c r="F12" s="87">
        <f>F8+F9+F10+F11</f>
        <v/>
      </c>
      <c r="G12" s="88">
        <f>F12/E12</f>
        <v/>
      </c>
      <c r="H12" s="82">
        <f>H8+H9+H10+H11</f>
        <v/>
      </c>
      <c r="I12" s="83">
        <f>I8+I9+I10+I11</f>
        <v/>
      </c>
      <c r="J12" s="88">
        <f>I12/H12</f>
        <v/>
      </c>
      <c r="K12" s="83">
        <f>K8+K9+K10+K11</f>
        <v/>
      </c>
      <c r="L12" s="83">
        <f>L8+L9+L10+L11</f>
        <v/>
      </c>
      <c r="M12" s="88">
        <f>L12/K12</f>
        <v/>
      </c>
      <c r="N12" s="83">
        <f>N8+N9+N10+N11</f>
        <v/>
      </c>
      <c r="O12" s="83">
        <f>O8+O9+O10+O11</f>
        <v/>
      </c>
      <c r="P12" s="88">
        <f>O12/N12</f>
        <v/>
      </c>
      <c r="Q12" s="83">
        <f>Q8+Q9+Q10+Q11</f>
        <v/>
      </c>
      <c r="R12" s="83">
        <f>R8+R9+R10+R11</f>
        <v/>
      </c>
      <c r="S12" s="88">
        <f>R12/Q12</f>
        <v/>
      </c>
      <c r="T12" s="83">
        <f>T8+T9+T10</f>
        <v/>
      </c>
      <c r="U12" s="83">
        <f>U8+U9+U10</f>
        <v/>
      </c>
      <c r="V12" s="88">
        <f>U12/T12</f>
        <v/>
      </c>
      <c r="W12" s="83">
        <f>W8+W9+W10+W11</f>
        <v/>
      </c>
      <c r="X12" s="83">
        <f>X8+X9+X10+X11</f>
        <v/>
      </c>
      <c r="Y12" s="93">
        <f>X12/W12</f>
        <v/>
      </c>
      <c r="Z12" s="83">
        <f>Z8+Z9+Z10+Z11</f>
        <v/>
      </c>
      <c r="AA12" s="83">
        <f>AA8+AA9+AA10+AA11</f>
        <v/>
      </c>
      <c r="AB12" s="88">
        <f>AA12/Z12</f>
        <v/>
      </c>
      <c r="AC12" s="83">
        <f>AC8+AC9+AC10+AC11</f>
        <v/>
      </c>
      <c r="AD12" s="83">
        <f>AD8+AD9+AD10+AD11</f>
        <v/>
      </c>
      <c r="AE12" s="88">
        <f>AD12/AC12</f>
        <v/>
      </c>
      <c r="AF12" s="83">
        <f>AF8+AF9+AF10+AF11</f>
        <v/>
      </c>
      <c r="AG12" s="83">
        <f>AG8+AG9+AG10+AG11</f>
        <v/>
      </c>
      <c r="AH12" s="88">
        <f>AG12/AF12</f>
        <v/>
      </c>
      <c r="AI12" s="83">
        <f>AI8+AI9+AI10+AI11</f>
        <v/>
      </c>
      <c r="AJ12" s="83">
        <f>AJ8+AJ9+AJ10+AJ11</f>
        <v/>
      </c>
      <c r="AK12" s="88">
        <f>AJ12/AI12</f>
        <v/>
      </c>
      <c r="AL12" s="83">
        <f>AL8+AL9+AL10+AL11</f>
        <v/>
      </c>
      <c r="AM12" s="83">
        <f>AM8+AM9+AM10+AM11</f>
        <v/>
      </c>
      <c r="AN12" s="88">
        <f>AM12/AL12</f>
        <v/>
      </c>
      <c r="AO12" s="83">
        <f>AO8+AO9+AO10+AO11</f>
        <v/>
      </c>
      <c r="AP12" s="83">
        <f>AP8+AP9+AP10+AP11</f>
        <v/>
      </c>
      <c r="AQ12" s="88">
        <f>AP12/AO12</f>
        <v/>
      </c>
      <c r="AR12" s="83">
        <f>AR8+AR9+AR10+AR11</f>
        <v/>
      </c>
      <c r="AS12" s="83">
        <f>AS8+AS9+AS10+AS11</f>
        <v/>
      </c>
      <c r="AT12" s="93">
        <f>AS12/AR12</f>
        <v/>
      </c>
      <c r="AU12" s="83">
        <f>AU8+AU9+AU10+AU11</f>
        <v/>
      </c>
      <c r="AV12" s="83">
        <f>AV8+AV9+AV10+AV11</f>
        <v/>
      </c>
      <c r="AW12" s="98">
        <f>AV12/AU12</f>
        <v/>
      </c>
      <c r="AX12" s="191" t="n"/>
      <c r="BA12" s="54" t="n"/>
    </row>
    <row r="13" outlineLevel="1" ht="80.25" customHeight="1" s="154">
      <c r="B13" s="222" t="inlineStr">
        <is>
          <t>試験対策</t>
        </is>
      </c>
      <c r="C13" s="202" t="n"/>
      <c r="D13" s="203" t="n"/>
      <c r="E13" s="103" t="inlineStr">
        <is>
          <t>目標</t>
        </is>
      </c>
      <c r="F13" s="104" t="inlineStr">
        <is>
          <t>実績</t>
        </is>
      </c>
      <c r="G13" s="105" t="inlineStr">
        <is>
          <t>達成率</t>
        </is>
      </c>
      <c r="H13" s="106" t="inlineStr">
        <is>
          <t>目標</t>
        </is>
      </c>
      <c r="I13" s="107" t="inlineStr">
        <is>
          <t>実績</t>
        </is>
      </c>
      <c r="J13" s="105" t="inlineStr">
        <is>
          <t>達成率</t>
        </is>
      </c>
      <c r="K13" s="107" t="inlineStr">
        <is>
          <t>目標</t>
        </is>
      </c>
      <c r="L13" s="107" t="inlineStr">
        <is>
          <t>実績</t>
        </is>
      </c>
      <c r="M13" s="105" t="inlineStr">
        <is>
          <t>達成率</t>
        </is>
      </c>
      <c r="N13" s="107" t="inlineStr">
        <is>
          <t>目標</t>
        </is>
      </c>
      <c r="O13" s="107" t="inlineStr">
        <is>
          <t>実績</t>
        </is>
      </c>
      <c r="P13" s="105" t="inlineStr">
        <is>
          <t>達成率</t>
        </is>
      </c>
      <c r="Q13" s="107" t="inlineStr">
        <is>
          <t>目標</t>
        </is>
      </c>
      <c r="R13" s="107" t="inlineStr">
        <is>
          <t>実績</t>
        </is>
      </c>
      <c r="S13" s="105" t="inlineStr">
        <is>
          <t>達成率</t>
        </is>
      </c>
      <c r="T13" s="107" t="inlineStr">
        <is>
          <t>目標</t>
        </is>
      </c>
      <c r="U13" s="107" t="inlineStr">
        <is>
          <t>実績</t>
        </is>
      </c>
      <c r="V13" s="105" t="inlineStr">
        <is>
          <t>達成率</t>
        </is>
      </c>
      <c r="W13" s="107" t="inlineStr">
        <is>
          <t>目標</t>
        </is>
      </c>
      <c r="X13" s="107" t="inlineStr">
        <is>
          <t>実績</t>
        </is>
      </c>
      <c r="Y13" s="105" t="inlineStr">
        <is>
          <t>達成率</t>
        </is>
      </c>
      <c r="Z13" s="107" t="inlineStr">
        <is>
          <t>目標</t>
        </is>
      </c>
      <c r="AA13" s="107" t="inlineStr">
        <is>
          <t>実績</t>
        </is>
      </c>
      <c r="AB13" s="105" t="inlineStr">
        <is>
          <t>達成率</t>
        </is>
      </c>
      <c r="AC13" s="107" t="inlineStr">
        <is>
          <t>目標</t>
        </is>
      </c>
      <c r="AD13" s="107" t="inlineStr">
        <is>
          <t>実績</t>
        </is>
      </c>
      <c r="AE13" s="105" t="inlineStr">
        <is>
          <t>達成率</t>
        </is>
      </c>
      <c r="AF13" s="107" t="inlineStr">
        <is>
          <t>目標</t>
        </is>
      </c>
      <c r="AG13" s="107" t="inlineStr">
        <is>
          <t>実績</t>
        </is>
      </c>
      <c r="AH13" s="105" t="inlineStr">
        <is>
          <t>達成率</t>
        </is>
      </c>
      <c r="AI13" s="107" t="inlineStr">
        <is>
          <t>目標</t>
        </is>
      </c>
      <c r="AJ13" s="107" t="inlineStr">
        <is>
          <t>実績</t>
        </is>
      </c>
      <c r="AK13" s="105" t="inlineStr">
        <is>
          <t>達成率</t>
        </is>
      </c>
      <c r="AL13" s="107" t="inlineStr">
        <is>
          <t>目標</t>
        </is>
      </c>
      <c r="AM13" s="107" t="inlineStr">
        <is>
          <t>実績</t>
        </is>
      </c>
      <c r="AN13" s="105" t="inlineStr">
        <is>
          <t>達成率</t>
        </is>
      </c>
      <c r="AO13" s="107" t="inlineStr">
        <is>
          <t>目標</t>
        </is>
      </c>
      <c r="AP13" s="107" t="inlineStr">
        <is>
          <t>実績</t>
        </is>
      </c>
      <c r="AQ13" s="105" t="inlineStr">
        <is>
          <t>達成率</t>
        </is>
      </c>
      <c r="AR13" s="107" t="inlineStr">
        <is>
          <t>目標</t>
        </is>
      </c>
      <c r="AS13" s="107" t="inlineStr">
        <is>
          <t>実績</t>
        </is>
      </c>
      <c r="AT13" s="105" t="inlineStr">
        <is>
          <t>達成率</t>
        </is>
      </c>
      <c r="AU13" s="107" t="inlineStr">
        <is>
          <t>目標</t>
        </is>
      </c>
      <c r="AV13" s="107" t="inlineStr">
        <is>
          <t>実績</t>
        </is>
      </c>
      <c r="AW13" s="105" t="inlineStr">
        <is>
          <t>達成率</t>
        </is>
      </c>
      <c r="BA13" s="54" t="n"/>
    </row>
    <row r="14" ht="80.25" customHeight="1" s="154">
      <c r="B14" s="198" t="inlineStr">
        <is>
          <t>ビルクリーン</t>
        </is>
      </c>
      <c r="C14" s="199" t="n"/>
      <c r="D14" s="200" t="n"/>
      <c r="E14" s="74" t="n">
        <v>0</v>
      </c>
      <c r="F14" s="67" t="n">
        <v>90</v>
      </c>
      <c r="G14" s="93">
        <f>F14/E14</f>
        <v/>
      </c>
      <c r="H14" s="71" t="n">
        <v>400</v>
      </c>
      <c r="I14" s="67" t="n">
        <v>146.5</v>
      </c>
      <c r="J14" s="93">
        <f>I14/H14</f>
        <v/>
      </c>
      <c r="K14" s="67" t="n">
        <v>0</v>
      </c>
      <c r="L14" s="67" t="n">
        <v>65</v>
      </c>
      <c r="M14" s="93">
        <f>L14/K14</f>
        <v/>
      </c>
      <c r="N14" s="67" t="n">
        <v>400</v>
      </c>
      <c r="O14" s="67" t="n"/>
      <c r="P14" s="93">
        <f>O14/N14</f>
        <v/>
      </c>
      <c r="Q14" s="67" t="n">
        <v>0</v>
      </c>
      <c r="R14" s="67" t="n"/>
      <c r="S14" s="93">
        <f>R14/Q14</f>
        <v/>
      </c>
      <c r="T14" s="67" t="n">
        <v>400</v>
      </c>
      <c r="U14" s="67" t="n"/>
      <c r="V14" s="93">
        <f>U14/T14</f>
        <v/>
      </c>
      <c r="W14" s="67">
        <f>E14+H14+K14+N14+Q14+T14</f>
        <v/>
      </c>
      <c r="X14" s="67">
        <f>F14+I14+L14+O14+R14+U14</f>
        <v/>
      </c>
      <c r="Y14" s="93">
        <f>X14/W14</f>
        <v/>
      </c>
      <c r="Z14" s="67" t="n">
        <v>0</v>
      </c>
      <c r="AA14" s="67" t="n"/>
      <c r="AB14" s="93">
        <f>AA14/Z14</f>
        <v/>
      </c>
      <c r="AC14" s="67" t="n">
        <v>400</v>
      </c>
      <c r="AD14" s="67" t="n"/>
      <c r="AE14" s="93">
        <f>AD14/AC14</f>
        <v/>
      </c>
      <c r="AF14" s="67" t="n">
        <v>0</v>
      </c>
      <c r="AG14" s="67" t="n"/>
      <c r="AH14" s="93">
        <f>AG14/AF14</f>
        <v/>
      </c>
      <c r="AI14" s="67" t="n">
        <v>400</v>
      </c>
      <c r="AJ14" s="67" t="n"/>
      <c r="AK14" s="93">
        <f>AJ14/AI14</f>
        <v/>
      </c>
      <c r="AL14" s="67" t="n">
        <v>0</v>
      </c>
      <c r="AM14" s="67" t="n"/>
      <c r="AN14" s="93">
        <f>AM14/AL14</f>
        <v/>
      </c>
      <c r="AO14" s="67" t="n">
        <v>400</v>
      </c>
      <c r="AP14" s="67" t="n"/>
      <c r="AQ14" s="93">
        <f>AP14/AO14</f>
        <v/>
      </c>
      <c r="AR14" s="67">
        <f>Z14+AC14+AF14+AI14+AL14+AO14</f>
        <v/>
      </c>
      <c r="AS14" s="67">
        <f>AA14+AD14+AG14+AJ14+AM14+AP14</f>
        <v/>
      </c>
      <c r="AT14" s="93">
        <f>AS14/AR14</f>
        <v/>
      </c>
      <c r="AU14" s="67">
        <f>W14+AR14</f>
        <v/>
      </c>
      <c r="AV14" s="67">
        <f>X14+AS14</f>
        <v/>
      </c>
      <c r="AW14" s="98">
        <f>AV14/AU14</f>
        <v/>
      </c>
      <c r="AX14" s="191" t="n"/>
      <c r="BA14" s="54" t="n"/>
    </row>
    <row r="15" ht="80.25" customHeight="1" s="154">
      <c r="B15" s="198" t="inlineStr">
        <is>
          <t>外食</t>
        </is>
      </c>
      <c r="C15" s="199" t="n"/>
      <c r="D15" s="200" t="n"/>
      <c r="E15" s="74" t="n">
        <v>0</v>
      </c>
      <c r="F15" s="67" t="n"/>
      <c r="G15" s="93">
        <f>F15/E15</f>
        <v/>
      </c>
      <c r="H15" s="71" t="n">
        <v>0</v>
      </c>
      <c r="I15" s="67" t="n">
        <v>0</v>
      </c>
      <c r="J15" s="93">
        <f>I15/H15</f>
        <v/>
      </c>
      <c r="K15" s="67" t="n">
        <v>0</v>
      </c>
      <c r="L15" s="67" t="n"/>
      <c r="M15" s="93">
        <f>L15/K15</f>
        <v/>
      </c>
      <c r="N15" s="67" t="n">
        <v>0</v>
      </c>
      <c r="O15" s="67" t="n"/>
      <c r="P15" s="93">
        <f>O15/N15</f>
        <v/>
      </c>
      <c r="Q15" s="67" t="n">
        <v>0</v>
      </c>
      <c r="R15" s="67" t="n"/>
      <c r="S15" s="93">
        <f>R15/Q15</f>
        <v/>
      </c>
      <c r="T15" s="67" t="n">
        <v>0</v>
      </c>
      <c r="U15" s="67" t="n"/>
      <c r="V15" s="93">
        <f>U15/T15</f>
        <v/>
      </c>
      <c r="W15" s="67">
        <f>E15+H15+K15+N15+Q15+T15</f>
        <v/>
      </c>
      <c r="X15" s="67">
        <f>F15+I15+L15+O15+R15+U15</f>
        <v/>
      </c>
      <c r="Y15" s="93">
        <f>X15/W15</f>
        <v/>
      </c>
      <c r="Z15" s="67" t="n">
        <v>0</v>
      </c>
      <c r="AA15" s="67" t="n"/>
      <c r="AB15" s="93">
        <f>AA15/Z15</f>
        <v/>
      </c>
      <c r="AC15" s="67" t="n">
        <v>0</v>
      </c>
      <c r="AD15" s="67" t="n"/>
      <c r="AE15" s="93">
        <f>AD15/AC15</f>
        <v/>
      </c>
      <c r="AF15" s="67" t="n">
        <v>0</v>
      </c>
      <c r="AG15" s="67" t="n"/>
      <c r="AH15" s="93">
        <f>AG15/AF15</f>
        <v/>
      </c>
      <c r="AI15" s="67" t="n">
        <v>0</v>
      </c>
      <c r="AJ15" s="67" t="n"/>
      <c r="AK15" s="93">
        <f>AJ15/AI15</f>
        <v/>
      </c>
      <c r="AL15" s="67" t="n">
        <v>0</v>
      </c>
      <c r="AM15" s="67" t="n"/>
      <c r="AN15" s="93">
        <f>AM15/AL15</f>
        <v/>
      </c>
      <c r="AO15" s="67" t="n">
        <v>0</v>
      </c>
      <c r="AP15" s="67" t="n"/>
      <c r="AQ15" s="93">
        <f>AP15/AO15</f>
        <v/>
      </c>
      <c r="AR15" s="67">
        <f>Z15+AC15+AF15+AI15+AL15+AO15</f>
        <v/>
      </c>
      <c r="AS15" s="67">
        <f>AA15+AD15+AG15+AJ15+AM15+AP15</f>
        <v/>
      </c>
      <c r="AT15" s="93">
        <f>AS15/AR15</f>
        <v/>
      </c>
      <c r="AU15" s="67">
        <f>W15+AR15</f>
        <v/>
      </c>
      <c r="AV15" s="67">
        <f>X15+AS15</f>
        <v/>
      </c>
      <c r="AW15" s="98">
        <f>AV15/AU15</f>
        <v/>
      </c>
      <c r="BA15" s="54" t="n"/>
    </row>
    <row r="16" ht="80.25" customHeight="1" s="154">
      <c r="B16" s="198" t="inlineStr">
        <is>
          <t>宿泊</t>
        </is>
      </c>
      <c r="C16" s="199" t="n"/>
      <c r="D16" s="200" t="n"/>
      <c r="E16" s="74" t="n">
        <v>0</v>
      </c>
      <c r="F16" s="67" t="n"/>
      <c r="G16" s="93">
        <f>F16/E16</f>
        <v/>
      </c>
      <c r="H16" s="71" t="n">
        <v>0</v>
      </c>
      <c r="I16" s="67" t="n">
        <v>0</v>
      </c>
      <c r="J16" s="93">
        <f>I16/H16</f>
        <v/>
      </c>
      <c r="K16" s="67" t="n">
        <v>0</v>
      </c>
      <c r="L16" s="67" t="n"/>
      <c r="M16" s="93">
        <f>L16/K16</f>
        <v/>
      </c>
      <c r="N16" s="67" t="n">
        <v>0</v>
      </c>
      <c r="O16" s="67" t="n"/>
      <c r="P16" s="93">
        <f>O16/N16</f>
        <v/>
      </c>
      <c r="Q16" s="67" t="n">
        <v>0</v>
      </c>
      <c r="R16" s="67" t="n"/>
      <c r="S16" s="93">
        <f>R16/Q16</f>
        <v/>
      </c>
      <c r="T16" s="67" t="n">
        <v>0</v>
      </c>
      <c r="U16" s="67" t="n"/>
      <c r="V16" s="93">
        <f>U16/T16</f>
        <v/>
      </c>
      <c r="W16" s="67">
        <f>E16+H16+K16+N16+Q16+T16</f>
        <v/>
      </c>
      <c r="X16" s="67">
        <f>F16+I16+L16+O16+R16+U16</f>
        <v/>
      </c>
      <c r="Y16" s="93">
        <f>X16/W16</f>
        <v/>
      </c>
      <c r="Z16" s="67" t="n">
        <v>0</v>
      </c>
      <c r="AA16" s="67" t="n"/>
      <c r="AB16" s="93">
        <f>AA16/Z16</f>
        <v/>
      </c>
      <c r="AC16" s="67" t="n">
        <v>0</v>
      </c>
      <c r="AD16" s="67" t="n"/>
      <c r="AE16" s="93">
        <f>AD16/AC16</f>
        <v/>
      </c>
      <c r="AF16" s="67" t="n">
        <v>0</v>
      </c>
      <c r="AG16" s="67" t="n"/>
      <c r="AH16" s="93">
        <f>AG16/AF16</f>
        <v/>
      </c>
      <c r="AI16" s="67" t="n">
        <v>0</v>
      </c>
      <c r="AJ16" s="67" t="n"/>
      <c r="AK16" s="93">
        <f>AJ16/AI16</f>
        <v/>
      </c>
      <c r="AL16" s="67" t="n">
        <v>0</v>
      </c>
      <c r="AM16" s="67" t="n"/>
      <c r="AN16" s="93">
        <f>AM16/AL16</f>
        <v/>
      </c>
      <c r="AO16" s="67" t="n">
        <v>0</v>
      </c>
      <c r="AP16" s="67" t="n"/>
      <c r="AQ16" s="93">
        <f>AP16/AO16</f>
        <v/>
      </c>
      <c r="AR16" s="67">
        <f>Z16+AC16+AF16+AI16+AL16+AO16</f>
        <v/>
      </c>
      <c r="AS16" s="67">
        <f>AA16+AD16+AG16+AJ16+AM16+AP16</f>
        <v/>
      </c>
      <c r="AT16" s="93">
        <f>AS16/AR16</f>
        <v/>
      </c>
      <c r="AU16" s="67">
        <f>W16+AR16</f>
        <v/>
      </c>
      <c r="AV16" s="67">
        <f>X16+AS16</f>
        <v/>
      </c>
      <c r="AW16" s="98">
        <f>AV16/AU16</f>
        <v/>
      </c>
      <c r="BA16" s="54" t="n"/>
    </row>
    <row r="17" ht="80.25" customHeight="1" s="154">
      <c r="B17" s="224" t="inlineStr">
        <is>
          <t>小計</t>
        </is>
      </c>
      <c r="C17" s="206" t="n"/>
      <c r="D17" s="207" t="n"/>
      <c r="E17" s="81">
        <f>SUM(E14:E16)</f>
        <v/>
      </c>
      <c r="F17" s="83">
        <f>SUM(F14:F16)</f>
        <v/>
      </c>
      <c r="G17" s="93">
        <f>F17/E17</f>
        <v/>
      </c>
      <c r="H17" s="82">
        <f>SUM(H14:H16)</f>
        <v/>
      </c>
      <c r="I17" s="83">
        <f>SUM(I14:I16)</f>
        <v/>
      </c>
      <c r="J17" s="93">
        <f>I17/H17</f>
        <v/>
      </c>
      <c r="K17" s="83">
        <f>SUM(K14:K16)</f>
        <v/>
      </c>
      <c r="L17" s="83">
        <f>SUM(L14:L16)</f>
        <v/>
      </c>
      <c r="M17" s="93">
        <f>L17/K17</f>
        <v/>
      </c>
      <c r="N17" s="83">
        <f>SUM(N14:N16)</f>
        <v/>
      </c>
      <c r="O17" s="83">
        <f>SUM(O14:O16)</f>
        <v/>
      </c>
      <c r="P17" s="93">
        <f>O17/N17</f>
        <v/>
      </c>
      <c r="Q17" s="83">
        <f>SUM(Q14:Q16)</f>
        <v/>
      </c>
      <c r="R17" s="83">
        <f>SUM(R14:R16)</f>
        <v/>
      </c>
      <c r="S17" s="93">
        <f>R17/Q17</f>
        <v/>
      </c>
      <c r="T17" s="83">
        <f>SUM(T14:T16)</f>
        <v/>
      </c>
      <c r="U17" s="83">
        <f>SUM(U14:U16)</f>
        <v/>
      </c>
      <c r="V17" s="93">
        <f>U17/T17</f>
        <v/>
      </c>
      <c r="W17" s="83">
        <f>SUM(W14:W16)</f>
        <v/>
      </c>
      <c r="X17" s="83">
        <f>SUM(X14:X16)</f>
        <v/>
      </c>
      <c r="Y17" s="93">
        <f>X17/W17</f>
        <v/>
      </c>
      <c r="Z17" s="83">
        <f>SUM(Z14:Z16)</f>
        <v/>
      </c>
      <c r="AA17" s="83">
        <f>SUM(AA14:AA16)</f>
        <v/>
      </c>
      <c r="AB17" s="93">
        <f>AA17/Z17</f>
        <v/>
      </c>
      <c r="AC17" s="83">
        <f>SUM(AC14:AC16)</f>
        <v/>
      </c>
      <c r="AD17" s="83">
        <f>SUM(AD14:AD16)</f>
        <v/>
      </c>
      <c r="AE17" s="93">
        <f>AD17/AC17</f>
        <v/>
      </c>
      <c r="AF17" s="83">
        <f>SUM(AF14:AF16)</f>
        <v/>
      </c>
      <c r="AG17" s="83">
        <f>SUM(AG14:AG16)</f>
        <v/>
      </c>
      <c r="AH17" s="93">
        <f>AG17/AF17</f>
        <v/>
      </c>
      <c r="AI17" s="83">
        <f>SUM(AI14:AI16)</f>
        <v/>
      </c>
      <c r="AJ17" s="83">
        <f>SUM(AJ14:AJ16)</f>
        <v/>
      </c>
      <c r="AK17" s="93">
        <f>AJ17/AI17</f>
        <v/>
      </c>
      <c r="AL17" s="83">
        <f>SUM(AL14:AL16)</f>
        <v/>
      </c>
      <c r="AM17" s="83">
        <f>SUM(AM14:AM16)</f>
        <v/>
      </c>
      <c r="AN17" s="93">
        <f>AM17/AL17</f>
        <v/>
      </c>
      <c r="AO17" s="83">
        <f>SUM(AO14:AO16)</f>
        <v/>
      </c>
      <c r="AP17" s="83">
        <f>SUM(AP14:AP16)</f>
        <v/>
      </c>
      <c r="AQ17" s="93">
        <f>AP17/AO17</f>
        <v/>
      </c>
      <c r="AR17" s="83">
        <f>SUM(AR14:AR16)</f>
        <v/>
      </c>
      <c r="AS17" s="83">
        <f>SUM(AS14:AS16)</f>
        <v/>
      </c>
      <c r="AT17" s="93">
        <f>AS17/AR17</f>
        <v/>
      </c>
      <c r="AU17" s="83">
        <f>SUM(AU14:AU16)</f>
        <v/>
      </c>
      <c r="AV17" s="83">
        <f>SUM(AV14:AV16)</f>
        <v/>
      </c>
      <c r="AW17" s="98">
        <f>AV17/AU17</f>
        <v/>
      </c>
      <c r="AX17" s="191" t="n"/>
      <c r="AY17" s="191" t="n"/>
      <c r="BA17" s="54" t="n"/>
    </row>
    <row r="18" ht="80.25" customHeight="1" s="154">
      <c r="B18" s="213" t="inlineStr">
        <is>
          <t>内部紹介</t>
        </is>
      </c>
      <c r="C18" s="202" t="n"/>
      <c r="D18" s="203" t="n"/>
      <c r="E18" s="109" t="inlineStr">
        <is>
          <t>目標</t>
        </is>
      </c>
      <c r="F18" s="110" t="inlineStr">
        <is>
          <t>実績</t>
        </is>
      </c>
      <c r="G18" s="111" t="inlineStr">
        <is>
          <t>達成率</t>
        </is>
      </c>
      <c r="H18" s="112" t="inlineStr">
        <is>
          <t>目標</t>
        </is>
      </c>
      <c r="I18" s="113" t="inlineStr">
        <is>
          <t>実績</t>
        </is>
      </c>
      <c r="J18" s="111" t="inlineStr">
        <is>
          <t>達成率</t>
        </is>
      </c>
      <c r="K18" s="113" t="inlineStr">
        <is>
          <t>目標</t>
        </is>
      </c>
      <c r="L18" s="113" t="inlineStr">
        <is>
          <t>実績</t>
        </is>
      </c>
      <c r="M18" s="111" t="inlineStr">
        <is>
          <t>達成率</t>
        </is>
      </c>
      <c r="N18" s="113" t="inlineStr">
        <is>
          <t>目標</t>
        </is>
      </c>
      <c r="O18" s="113" t="inlineStr">
        <is>
          <t>実績</t>
        </is>
      </c>
      <c r="P18" s="111" t="inlineStr">
        <is>
          <t>達成率</t>
        </is>
      </c>
      <c r="Q18" s="113" t="inlineStr">
        <is>
          <t>目標</t>
        </is>
      </c>
      <c r="R18" s="113" t="inlineStr">
        <is>
          <t>実績</t>
        </is>
      </c>
      <c r="S18" s="111" t="inlineStr">
        <is>
          <t>達成率</t>
        </is>
      </c>
      <c r="T18" s="113" t="inlineStr">
        <is>
          <t>目標</t>
        </is>
      </c>
      <c r="U18" s="113" t="inlineStr">
        <is>
          <t>実績</t>
        </is>
      </c>
      <c r="V18" s="111" t="inlineStr">
        <is>
          <t>達成率</t>
        </is>
      </c>
      <c r="W18" s="113" t="inlineStr">
        <is>
          <t>目標</t>
        </is>
      </c>
      <c r="X18" s="113" t="inlineStr">
        <is>
          <t>実績</t>
        </is>
      </c>
      <c r="Y18" s="111" t="inlineStr">
        <is>
          <t>達成率</t>
        </is>
      </c>
      <c r="Z18" s="113" t="inlineStr">
        <is>
          <t>目標</t>
        </is>
      </c>
      <c r="AA18" s="113" t="inlineStr">
        <is>
          <t>実績</t>
        </is>
      </c>
      <c r="AB18" s="111" t="inlineStr">
        <is>
          <t>達成率</t>
        </is>
      </c>
      <c r="AC18" s="113" t="inlineStr">
        <is>
          <t>目標</t>
        </is>
      </c>
      <c r="AD18" s="113" t="inlineStr">
        <is>
          <t>実績</t>
        </is>
      </c>
      <c r="AE18" s="111" t="inlineStr">
        <is>
          <t>達成率</t>
        </is>
      </c>
      <c r="AF18" s="113" t="inlineStr">
        <is>
          <t>目標</t>
        </is>
      </c>
      <c r="AG18" s="113" t="inlineStr">
        <is>
          <t>実績</t>
        </is>
      </c>
      <c r="AH18" s="111" t="inlineStr">
        <is>
          <t>達成率</t>
        </is>
      </c>
      <c r="AI18" s="113" t="inlineStr">
        <is>
          <t>目標</t>
        </is>
      </c>
      <c r="AJ18" s="113" t="inlineStr">
        <is>
          <t>実績</t>
        </is>
      </c>
      <c r="AK18" s="111" t="inlineStr">
        <is>
          <t>達成率</t>
        </is>
      </c>
      <c r="AL18" s="113" t="inlineStr">
        <is>
          <t>目標</t>
        </is>
      </c>
      <c r="AM18" s="113" t="inlineStr">
        <is>
          <t>実績</t>
        </is>
      </c>
      <c r="AN18" s="111" t="inlineStr">
        <is>
          <t>達成率</t>
        </is>
      </c>
      <c r="AO18" s="113" t="inlineStr">
        <is>
          <t>目標</t>
        </is>
      </c>
      <c r="AP18" s="113" t="inlineStr">
        <is>
          <t>実績</t>
        </is>
      </c>
      <c r="AQ18" s="111" t="inlineStr">
        <is>
          <t>達成率</t>
        </is>
      </c>
      <c r="AR18" s="113" t="inlineStr">
        <is>
          <t>目標</t>
        </is>
      </c>
      <c r="AS18" s="113" t="inlineStr">
        <is>
          <t>実績</t>
        </is>
      </c>
      <c r="AT18" s="111" t="inlineStr">
        <is>
          <t>達成率</t>
        </is>
      </c>
      <c r="AU18" s="113" t="inlineStr">
        <is>
          <t>目標</t>
        </is>
      </c>
      <c r="AV18" s="113" t="inlineStr">
        <is>
          <t>実績</t>
        </is>
      </c>
      <c r="AW18" s="111" t="inlineStr">
        <is>
          <t>達成率</t>
        </is>
      </c>
      <c r="AX18" s="191" t="n"/>
      <c r="AY18" s="191" t="n"/>
      <c r="BA18" s="54" t="n"/>
    </row>
    <row r="19" ht="80.25" customHeight="1" s="154">
      <c r="B19" s="214" t="inlineStr">
        <is>
          <t>技人国　　　　　　　　　　　　　　　　　　　　　N１／３０％　N2／２０％　N3／１５％</t>
        </is>
      </c>
      <c r="C19" s="199" t="n"/>
      <c r="D19" s="200" t="n"/>
      <c r="E19" s="74" t="n"/>
      <c r="F19" s="67" t="n"/>
      <c r="G19" s="93">
        <f>F19/E19</f>
        <v/>
      </c>
      <c r="H19" s="71" t="n"/>
      <c r="I19" s="67" t="n">
        <v>400</v>
      </c>
      <c r="J19" s="93">
        <f>I19/H19</f>
        <v/>
      </c>
      <c r="K19" s="67" t="n"/>
      <c r="L19" s="67" t="n">
        <v>800</v>
      </c>
      <c r="M19" s="93">
        <f>L19/K19</f>
        <v/>
      </c>
      <c r="N19" s="67" t="n"/>
      <c r="O19" s="67" t="n"/>
      <c r="P19" s="93">
        <f>O19/N19</f>
        <v/>
      </c>
      <c r="Q19" s="67" t="n"/>
      <c r="R19" s="67" t="n"/>
      <c r="S19" s="93">
        <f>R19/Q19</f>
        <v/>
      </c>
      <c r="T19" s="67" t="n"/>
      <c r="U19" s="67" t="n"/>
      <c r="V19" s="93">
        <f>U19/T19</f>
        <v/>
      </c>
      <c r="W19" s="67">
        <f>E19+H19+K19+N19+Q19+T19</f>
        <v/>
      </c>
      <c r="X19" s="67">
        <f>F19+I19+L19+O19+R19+U19</f>
        <v/>
      </c>
      <c r="Y19" s="93">
        <f>X19/W19</f>
        <v/>
      </c>
      <c r="Z19" s="67" t="n"/>
      <c r="AA19" s="67" t="n"/>
      <c r="AB19" s="93">
        <f>AA19/Z19</f>
        <v/>
      </c>
      <c r="AC19" s="67" t="n"/>
      <c r="AD19" s="67" t="n"/>
      <c r="AE19" s="93">
        <f>AD19/AC19</f>
        <v/>
      </c>
      <c r="AF19" s="67" t="n"/>
      <c r="AG19" s="67" t="n"/>
      <c r="AH19" s="93">
        <f>AG19/AF19</f>
        <v/>
      </c>
      <c r="AI19" s="67" t="n"/>
      <c r="AJ19" s="67" t="n"/>
      <c r="AK19" s="93">
        <f>AJ19/AI19</f>
        <v/>
      </c>
      <c r="AL19" s="67" t="n"/>
      <c r="AM19" s="67" t="n"/>
      <c r="AN19" s="93">
        <f>AM19/AL19</f>
        <v/>
      </c>
      <c r="AO19" s="67" t="n"/>
      <c r="AP19" s="67" t="n"/>
      <c r="AQ19" s="93">
        <f>AP19/AO19</f>
        <v/>
      </c>
      <c r="AR19" s="67">
        <f>Z19+AC19+AF19+AI19+AL19+AO19</f>
        <v/>
      </c>
      <c r="AS19" s="67">
        <f>AA19+AD19+AG19+AJ19+AM19+AP19</f>
        <v/>
      </c>
      <c r="AT19" s="93">
        <f>AS19/AR19</f>
        <v/>
      </c>
      <c r="AU19" s="67">
        <f>W19+AR19</f>
        <v/>
      </c>
      <c r="AV19" s="67">
        <f>X19+AS19</f>
        <v/>
      </c>
      <c r="AW19" s="98">
        <f>AV19/AU19</f>
        <v/>
      </c>
      <c r="AX19" s="191" t="n"/>
      <c r="AY19" s="191" t="n"/>
      <c r="BA19" s="54" t="n"/>
    </row>
    <row r="20" ht="80.25" customHeight="1" s="154">
      <c r="B20" s="198" t="inlineStr">
        <is>
          <t>特定技能（一律２0万）✕　〇人</t>
        </is>
      </c>
      <c r="C20" s="199" t="n"/>
      <c r="D20" s="200" t="n"/>
      <c r="E20" s="74" t="n">
        <v>3000</v>
      </c>
      <c r="F20" s="67" t="n">
        <v>800</v>
      </c>
      <c r="G20" s="93">
        <f>F20/E20</f>
        <v/>
      </c>
      <c r="H20" s="71" t="n">
        <v>3000</v>
      </c>
      <c r="I20" s="67" t="n">
        <v>2400</v>
      </c>
      <c r="J20" s="93">
        <f>I20/H20</f>
        <v/>
      </c>
      <c r="K20" s="67" t="n">
        <v>3000</v>
      </c>
      <c r="L20" s="67" t="n">
        <v>2400</v>
      </c>
      <c r="M20" s="93">
        <f>L20/K20</f>
        <v/>
      </c>
      <c r="N20" s="67" t="n">
        <v>3000</v>
      </c>
      <c r="O20" s="69" t="n"/>
      <c r="P20" s="93">
        <f>O20/N20</f>
        <v/>
      </c>
      <c r="Q20" s="67" t="n">
        <v>3000</v>
      </c>
      <c r="R20" s="67" t="n"/>
      <c r="S20" s="93">
        <f>R20/Q20</f>
        <v/>
      </c>
      <c r="T20" s="67" t="n">
        <v>3000</v>
      </c>
      <c r="U20" s="67" t="n"/>
      <c r="V20" s="93">
        <f>U20/T20</f>
        <v/>
      </c>
      <c r="W20" s="67">
        <f>E20+H20+K20+N20+Q20+T20</f>
        <v/>
      </c>
      <c r="X20" s="67">
        <f>F20+I20+L20+O20+R20+U20</f>
        <v/>
      </c>
      <c r="Y20" s="93">
        <f>X20/W20</f>
        <v/>
      </c>
      <c r="Z20" s="67" t="n">
        <v>3000</v>
      </c>
      <c r="AA20" s="67" t="n"/>
      <c r="AB20" s="93">
        <f>AA20/Z20</f>
        <v/>
      </c>
      <c r="AC20" s="67" t="n">
        <v>3000</v>
      </c>
      <c r="AD20" s="67" t="n"/>
      <c r="AE20" s="93">
        <f>AD20/AC20</f>
        <v/>
      </c>
      <c r="AF20" s="67" t="n">
        <v>3000</v>
      </c>
      <c r="AG20" s="67" t="n"/>
      <c r="AH20" s="93">
        <f>AG20/AF20</f>
        <v/>
      </c>
      <c r="AI20" s="67" t="n">
        <v>3000</v>
      </c>
      <c r="AJ20" s="67" t="n"/>
      <c r="AK20" s="93">
        <f>AJ20/AI20</f>
        <v/>
      </c>
      <c r="AL20" s="67" t="n">
        <v>3000</v>
      </c>
      <c r="AM20" s="67" t="n"/>
      <c r="AN20" s="93">
        <f>AM20/AL20</f>
        <v/>
      </c>
      <c r="AO20" s="67" t="n">
        <v>3000</v>
      </c>
      <c r="AP20" s="67" t="n"/>
      <c r="AQ20" s="93">
        <f>AP20/AO20</f>
        <v/>
      </c>
      <c r="AR20" s="67">
        <f>Z20+AC20+AF20+AI20+AL20+AO20</f>
        <v/>
      </c>
      <c r="AS20" s="67">
        <f>AA20+AD20+AG20+AJ20+AM20+AP20</f>
        <v/>
      </c>
      <c r="AT20" s="93">
        <f>AS20/AR20</f>
        <v/>
      </c>
      <c r="AU20" s="67">
        <f>W20+AR20</f>
        <v/>
      </c>
      <c r="AV20" s="67">
        <f>X20+AS20</f>
        <v/>
      </c>
      <c r="AW20" s="98">
        <f>AV20/AU20</f>
        <v/>
      </c>
      <c r="AX20" s="191" t="n"/>
      <c r="AY20" s="191" t="n"/>
      <c r="BA20" s="54" t="n"/>
    </row>
    <row r="21" ht="80.25" customHeight="1" s="154">
      <c r="B21" s="198" t="inlineStr">
        <is>
          <t>アルバイト(3万円／人）</t>
        </is>
      </c>
      <c r="C21" s="199" t="n"/>
      <c r="D21" s="200" t="n"/>
      <c r="E21" s="74" t="n"/>
      <c r="F21" s="67" t="n">
        <v>720</v>
      </c>
      <c r="G21" s="93">
        <f>F21/E21</f>
        <v/>
      </c>
      <c r="H21" s="71" t="n"/>
      <c r="I21" s="67" t="n">
        <v>390</v>
      </c>
      <c r="J21" s="93">
        <f>I21/H21</f>
        <v/>
      </c>
      <c r="K21" s="67" t="n"/>
      <c r="L21" s="67" t="n">
        <v>450</v>
      </c>
      <c r="M21" s="93">
        <f>L21/K21</f>
        <v/>
      </c>
      <c r="N21" s="67" t="n"/>
      <c r="O21" s="67" t="n"/>
      <c r="P21" s="93">
        <f>O21/N21</f>
        <v/>
      </c>
      <c r="Q21" s="67" t="n"/>
      <c r="R21" s="67" t="n"/>
      <c r="S21" s="93">
        <f>R21/Q21</f>
        <v/>
      </c>
      <c r="T21" s="67" t="n"/>
      <c r="U21" s="67" t="n"/>
      <c r="V21" s="93">
        <f>U21/T21</f>
        <v/>
      </c>
      <c r="W21" s="67">
        <f>E21+H21+K21+N21+Q21+T21</f>
        <v/>
      </c>
      <c r="X21" s="67">
        <f>F21+I21+L21+O21+R21+U21</f>
        <v/>
      </c>
      <c r="Y21" s="93">
        <f>X21/W21</f>
        <v/>
      </c>
      <c r="Z21" s="67" t="n"/>
      <c r="AA21" s="67" t="n"/>
      <c r="AB21" s="93">
        <f>AA21/Z21</f>
        <v/>
      </c>
      <c r="AC21" s="67" t="n"/>
      <c r="AD21" s="67" t="n"/>
      <c r="AE21" s="93">
        <f>AD21/AC21</f>
        <v/>
      </c>
      <c r="AF21" s="67" t="n"/>
      <c r="AG21" s="67" t="n"/>
      <c r="AH21" s="93">
        <f>AG21/AF21</f>
        <v/>
      </c>
      <c r="AI21" s="67" t="n"/>
      <c r="AJ21" s="67" t="n"/>
      <c r="AK21" s="93">
        <f>AJ21/AI21</f>
        <v/>
      </c>
      <c r="AL21" s="67" t="n"/>
      <c r="AM21" s="67" t="n"/>
      <c r="AN21" s="93">
        <f>AM21/AL21</f>
        <v/>
      </c>
      <c r="AO21" s="67" t="n"/>
      <c r="AP21" s="67" t="n"/>
      <c r="AQ21" s="93">
        <f>AP21/AO21</f>
        <v/>
      </c>
      <c r="AR21" s="67">
        <f>Z21+AC21+AF21+AI21+AL21+AO21</f>
        <v/>
      </c>
      <c r="AS21" s="67">
        <f>AA21+AD21+AG21+AJ21+AM21+AP21</f>
        <v/>
      </c>
      <c r="AT21" s="93">
        <f>AS21/AR21</f>
        <v/>
      </c>
      <c r="AU21" s="67">
        <f>W21+AR21</f>
        <v/>
      </c>
      <c r="AV21" s="67">
        <f>X21+AS21</f>
        <v/>
      </c>
      <c r="AW21" s="98">
        <f>AV21/AU21</f>
        <v/>
      </c>
      <c r="AX21" s="191" t="n"/>
      <c r="AY21" s="191" t="n"/>
      <c r="BA21" s="54" t="n"/>
    </row>
    <row r="22" ht="80.25" customHeight="1" s="154">
      <c r="B22" s="215" t="inlineStr">
        <is>
          <t>支援人数(1万円／人）</t>
        </is>
      </c>
      <c r="C22" s="216" t="n"/>
      <c r="D22" s="217" t="n"/>
      <c r="E22" s="74" t="n">
        <v>1500</v>
      </c>
      <c r="F22" s="67" t="n">
        <v>1550</v>
      </c>
      <c r="G22" s="93">
        <f>F22/E22</f>
        <v/>
      </c>
      <c r="H22" s="71" t="n">
        <v>1500</v>
      </c>
      <c r="I22" s="67" t="n">
        <v>1630</v>
      </c>
      <c r="J22" s="93">
        <f>I22/H22</f>
        <v/>
      </c>
      <c r="K22" s="67" t="n">
        <v>1500</v>
      </c>
      <c r="L22" s="67" t="n">
        <v>1760</v>
      </c>
      <c r="M22" s="93">
        <f>L22/K22</f>
        <v/>
      </c>
      <c r="N22" s="67" t="n">
        <v>1500</v>
      </c>
      <c r="O22" s="67" t="n"/>
      <c r="P22" s="93">
        <f>O22/N22</f>
        <v/>
      </c>
      <c r="Q22" s="67" t="n">
        <v>1500</v>
      </c>
      <c r="R22" s="67" t="n"/>
      <c r="S22" s="93">
        <f>R22/Q22</f>
        <v/>
      </c>
      <c r="T22" s="67" t="n">
        <v>1500</v>
      </c>
      <c r="U22" s="67" t="n"/>
      <c r="V22" s="93">
        <f>U22/T22</f>
        <v/>
      </c>
      <c r="W22" s="67">
        <f>E22+H22+K22+N22+Q22+T22</f>
        <v/>
      </c>
      <c r="X22" s="67">
        <f>F22+I22+L22+O22+R22+U22</f>
        <v/>
      </c>
      <c r="Y22" s="93">
        <f>X22/W22</f>
        <v/>
      </c>
      <c r="Z22" s="67" t="n">
        <v>1500</v>
      </c>
      <c r="AA22" s="67" t="n"/>
      <c r="AB22" s="93">
        <f>AA22/Z22</f>
        <v/>
      </c>
      <c r="AC22" s="67" t="n">
        <v>1500</v>
      </c>
      <c r="AD22" s="67" t="n"/>
      <c r="AE22" s="93">
        <f>AD22/AC22</f>
        <v/>
      </c>
      <c r="AF22" s="67" t="n">
        <v>1500</v>
      </c>
      <c r="AG22" s="67" t="n"/>
      <c r="AH22" s="93">
        <f>AG22/AF22</f>
        <v/>
      </c>
      <c r="AI22" s="67" t="n">
        <v>1500</v>
      </c>
      <c r="AJ22" s="67" t="n"/>
      <c r="AK22" s="93">
        <f>AJ22/AI22</f>
        <v/>
      </c>
      <c r="AL22" s="67" t="n">
        <v>1500</v>
      </c>
      <c r="AM22" s="67" t="n"/>
      <c r="AN22" s="93">
        <f>AM22/AL22</f>
        <v/>
      </c>
      <c r="AO22" s="67" t="n">
        <v>1500</v>
      </c>
      <c r="AP22" s="67" t="n"/>
      <c r="AQ22" s="93">
        <f>AP22/AO22</f>
        <v/>
      </c>
      <c r="AR22" s="67">
        <f>Z22+AC22+AF22+AI22+AL22+AO22</f>
        <v/>
      </c>
      <c r="AS22" s="67">
        <f>AA22+AD22+AG22+AJ22+AM22+AP22</f>
        <v/>
      </c>
      <c r="AT22" s="93">
        <f>AS22/AR22</f>
        <v/>
      </c>
      <c r="AU22" s="67">
        <f>W22+AR22</f>
        <v/>
      </c>
      <c r="AV22" s="67">
        <f>X22+AS22</f>
        <v/>
      </c>
      <c r="AW22" s="98">
        <f>AV22/AU22</f>
        <v/>
      </c>
      <c r="AX22" s="191" t="n"/>
      <c r="AY22" s="191" t="n"/>
      <c r="BA22" s="54" t="n"/>
    </row>
    <row r="23" ht="104" customHeight="1" s="154">
      <c r="B23" s="223" t="inlineStr">
        <is>
          <t>小計</t>
        </is>
      </c>
      <c r="C23" s="187" t="n"/>
      <c r="D23" s="188" t="n"/>
      <c r="E23" s="99">
        <f>SUM(E19:E22)</f>
        <v/>
      </c>
      <c r="F23" s="91">
        <f>SUM(F19:F22)</f>
        <v/>
      </c>
      <c r="G23" s="88">
        <f>F23/E23</f>
        <v/>
      </c>
      <c r="H23" s="82">
        <f>SUM(H19:H22)</f>
        <v/>
      </c>
      <c r="I23" s="83">
        <f>SUM(I19:I22)</f>
        <v/>
      </c>
      <c r="J23" s="88">
        <f>I23/H23</f>
        <v/>
      </c>
      <c r="K23" s="83">
        <f>SUM(K19:K22)</f>
        <v/>
      </c>
      <c r="L23" s="83">
        <f>SUM(L19:L22)</f>
        <v/>
      </c>
      <c r="M23" s="88">
        <f>L23/K23</f>
        <v/>
      </c>
      <c r="N23" s="83">
        <f>SUM(N19:N22)</f>
        <v/>
      </c>
      <c r="O23" s="87">
        <f>SUM(O19:O22)</f>
        <v/>
      </c>
      <c r="P23" s="88">
        <f>O23/N23</f>
        <v/>
      </c>
      <c r="Q23" s="87">
        <f>SUM(Q19:Q22)</f>
        <v/>
      </c>
      <c r="R23" s="83">
        <f>SUM(R19:R22)</f>
        <v/>
      </c>
      <c r="S23" s="88">
        <f>R23/Q23</f>
        <v/>
      </c>
      <c r="T23" s="100">
        <f>SUM(T19:T22)</f>
        <v/>
      </c>
      <c r="U23" s="83">
        <f>SUM(U19:U22)</f>
        <v/>
      </c>
      <c r="V23" s="88">
        <f>U23/T23</f>
        <v/>
      </c>
      <c r="W23" s="82">
        <f>SUM(W19:W22)</f>
        <v/>
      </c>
      <c r="X23" s="83">
        <f>SUM(X19:X22)</f>
        <v/>
      </c>
      <c r="Y23" s="101">
        <f>X23/W23</f>
        <v/>
      </c>
      <c r="Z23" s="83">
        <f>SUM(Z19:Z22)</f>
        <v/>
      </c>
      <c r="AA23" s="83">
        <f>SUM(AA19:AA22)</f>
        <v/>
      </c>
      <c r="AB23" s="88">
        <f>AA23/Z23</f>
        <v/>
      </c>
      <c r="AC23" s="83">
        <f>SUM(AC19:AC22)</f>
        <v/>
      </c>
      <c r="AD23" s="83">
        <f>SUM(AD19:AD22)</f>
        <v/>
      </c>
      <c r="AE23" s="88">
        <f>AD23/AC23</f>
        <v/>
      </c>
      <c r="AF23" s="83">
        <f>SUM(AF19:AF22)</f>
        <v/>
      </c>
      <c r="AG23" s="83">
        <f>SUM(AG19:AG22)</f>
        <v/>
      </c>
      <c r="AH23" s="88">
        <f>AG23/AF23</f>
        <v/>
      </c>
      <c r="AI23" s="83">
        <f>SUM(AI19:AI22)</f>
        <v/>
      </c>
      <c r="AJ23" s="83">
        <f>SUM(AJ19:AJ22)</f>
        <v/>
      </c>
      <c r="AK23" s="88">
        <f>AJ23/AI23</f>
        <v/>
      </c>
      <c r="AL23" s="83">
        <f>SUM(AL19:AL22)</f>
        <v/>
      </c>
      <c r="AM23" s="83">
        <f>SUM(AM19:AM22)</f>
        <v/>
      </c>
      <c r="AN23" s="88">
        <f>AM23/AL23</f>
        <v/>
      </c>
      <c r="AO23" s="83">
        <f>SUM(AO19:AO22)</f>
        <v/>
      </c>
      <c r="AP23" s="83">
        <f>SUM(AP19:AP22)</f>
        <v/>
      </c>
      <c r="AQ23" s="88">
        <f>AP23/AO23</f>
        <v/>
      </c>
      <c r="AR23" s="83">
        <f>SUM(AR19:AR22)</f>
        <v/>
      </c>
      <c r="AS23" s="83">
        <f>SUM(AS19:AS22)</f>
        <v/>
      </c>
      <c r="AT23" s="101">
        <f>AS23/AR23</f>
        <v/>
      </c>
      <c r="AU23" s="83">
        <f>SUM(AU19:AU22)</f>
        <v/>
      </c>
      <c r="AV23" s="83">
        <f>SUM(AV19:AV22)</f>
        <v/>
      </c>
      <c r="AW23" s="102">
        <f>AV23/AU23</f>
        <v/>
      </c>
    </row>
    <row r="24" ht="141.75" customFormat="1" customHeight="1" s="181">
      <c r="A24" s="64" t="n"/>
      <c r="O24" s="80" t="n"/>
      <c r="AU24" s="84" t="n"/>
      <c r="AV24" s="84" t="n"/>
      <c r="AW24" s="84" t="n"/>
    </row>
    <row r="25" ht="80.25" customHeight="1" s="154">
      <c r="B25" s="210" t="n"/>
      <c r="C25" s="210" t="n"/>
      <c r="D25" s="210" t="n"/>
      <c r="E25" s="210" t="n"/>
      <c r="G25" s="210" t="n"/>
      <c r="H25" s="210" t="n"/>
      <c r="I25" s="210" t="n"/>
      <c r="J25" s="210" t="n"/>
      <c r="K25" s="210" t="n"/>
      <c r="L25" s="210" t="n"/>
      <c r="M25" s="210" t="n"/>
      <c r="N25" s="210" t="n"/>
      <c r="O25" s="210" t="n"/>
      <c r="P25" s="210" t="n"/>
      <c r="Q25" s="210" t="n"/>
      <c r="R25" s="210" t="n"/>
      <c r="S25" s="210" t="n"/>
      <c r="T25" s="210" t="n"/>
      <c r="U25" s="210" t="n"/>
      <c r="V25" s="210" t="n"/>
      <c r="W25" s="210" t="n"/>
      <c r="X25" s="210" t="n"/>
      <c r="Y25" s="210" t="n"/>
      <c r="Z25" s="210" t="n"/>
      <c r="AA25" s="210" t="n"/>
      <c r="AB25" s="210" t="n"/>
      <c r="AC25" s="210" t="n"/>
      <c r="AD25" s="210" t="n"/>
      <c r="AE25" s="210" t="n"/>
      <c r="AF25" s="210" t="n"/>
      <c r="AG25" s="210" t="n"/>
      <c r="AH25" s="210" t="n"/>
      <c r="AI25" s="210" t="n"/>
      <c r="AJ25" s="210" t="n"/>
      <c r="AK25" s="210" t="n"/>
      <c r="AL25" s="210" t="n"/>
      <c r="AM25" s="210" t="n"/>
      <c r="AN25" s="210" t="n"/>
      <c r="AO25" s="210" t="n"/>
      <c r="AP25" s="210" t="n"/>
      <c r="AQ25" s="210" t="n"/>
      <c r="AR25" s="210" t="n"/>
      <c r="AS25" s="210" t="n"/>
      <c r="AT25" s="210" t="n"/>
      <c r="AU25" s="210" t="n"/>
      <c r="AV25" s="210" t="n"/>
      <c r="AW25" s="210" t="n"/>
    </row>
    <row r="26" ht="20.25" customFormat="1" customHeight="1" s="192">
      <c r="A26" s="54" t="n"/>
      <c r="B26" s="55" t="n"/>
      <c r="E26" s="191" t="n"/>
      <c r="F26" s="191" t="n"/>
      <c r="G26" s="191" t="n"/>
      <c r="H26" s="191" t="n"/>
      <c r="I26" s="211" t="n"/>
      <c r="J26" s="191" t="n"/>
      <c r="K26" s="211" t="n"/>
      <c r="L26" s="191" t="n"/>
      <c r="M26" s="191" t="n"/>
      <c r="N26" s="191" t="n"/>
      <c r="O26" s="191" t="n"/>
      <c r="P26" s="191" t="n"/>
      <c r="Q26" s="191" t="n"/>
      <c r="R26" s="191" t="n"/>
      <c r="S26" s="191" t="n"/>
      <c r="T26" s="191" t="n"/>
      <c r="U26" s="191" t="n"/>
      <c r="V26" s="191" t="n"/>
      <c r="W26" s="191" t="n"/>
      <c r="X26" s="191" t="n"/>
      <c r="Y26" s="211" t="n"/>
      <c r="Z26" s="191" t="n"/>
      <c r="AA26" s="191" t="n"/>
      <c r="AB26" s="191" t="n"/>
      <c r="AC26" s="191" t="n"/>
      <c r="AD26" s="211" t="n"/>
      <c r="AE26" s="191" t="n"/>
      <c r="AF26" s="211" t="n"/>
      <c r="AG26" s="191" t="n"/>
      <c r="AH26" s="191" t="n"/>
      <c r="AI26" s="191" t="n"/>
      <c r="AJ26" s="191" t="n"/>
      <c r="AK26" s="191" t="n"/>
      <c r="AL26" s="191" t="n"/>
      <c r="AM26" s="191" t="n"/>
      <c r="AN26" s="191" t="n"/>
      <c r="AO26" s="191" t="n"/>
      <c r="AP26" s="191" t="n"/>
      <c r="AQ26" s="191" t="n"/>
      <c r="AR26" s="191" t="n"/>
      <c r="AS26" s="191" t="n"/>
      <c r="AT26" s="211" t="n"/>
      <c r="AU26" s="191" t="n"/>
      <c r="AV26" s="191" t="n"/>
      <c r="AW26" s="66" t="n"/>
      <c r="BB26" s="59" t="n"/>
      <c r="BC26" s="59" t="n"/>
      <c r="BD26" s="59" t="n"/>
      <c r="BE26" s="59" t="n"/>
      <c r="BF26" s="59" t="n"/>
      <c r="BG26" s="59" t="n"/>
    </row>
    <row r="27" ht="20.25" customFormat="1" customHeight="1" s="192">
      <c r="A27" s="54" t="n"/>
      <c r="B27" s="55" t="n"/>
      <c r="E27" s="191" t="n"/>
      <c r="F27" s="191" t="n"/>
      <c r="G27" s="191" t="n"/>
      <c r="H27" s="191" t="n"/>
      <c r="I27" s="211" t="n"/>
      <c r="J27" s="191" t="n"/>
      <c r="K27" s="211" t="n"/>
      <c r="L27" s="191" t="n"/>
      <c r="M27" s="191" t="n"/>
      <c r="N27" s="191" t="n"/>
      <c r="O27" s="191" t="n"/>
      <c r="P27" s="191" t="n"/>
      <c r="Q27" s="191" t="n"/>
      <c r="R27" s="191" t="n"/>
      <c r="S27" s="191" t="n"/>
      <c r="T27" s="191" t="n"/>
      <c r="U27" s="191" t="n"/>
      <c r="V27" s="191" t="n"/>
      <c r="W27" s="191" t="n"/>
      <c r="X27" s="191" t="n"/>
      <c r="Y27" s="211" t="n"/>
      <c r="Z27" s="191" t="n"/>
      <c r="AA27" s="191" t="n"/>
      <c r="AB27" s="191" t="n"/>
      <c r="AC27" s="191" t="n"/>
      <c r="AD27" s="211" t="n"/>
      <c r="AE27" s="191" t="n"/>
      <c r="AF27" s="211" t="n"/>
      <c r="AG27" s="191" t="n"/>
      <c r="AH27" s="191" t="n"/>
      <c r="AI27" s="191" t="n"/>
      <c r="AJ27" s="191" t="n"/>
      <c r="AK27" s="191" t="n"/>
      <c r="AL27" s="191" t="n"/>
      <c r="AM27" s="191" t="n"/>
      <c r="AN27" s="191" t="n"/>
      <c r="AO27" s="191" t="n"/>
      <c r="AP27" s="191" t="n"/>
      <c r="AQ27" s="191" t="n"/>
      <c r="AR27" s="191" t="n"/>
      <c r="AS27" s="191" t="n"/>
      <c r="AT27" s="211" t="n"/>
      <c r="AU27" s="191" t="n"/>
      <c r="AV27" s="191" t="n"/>
      <c r="AW27" s="66" t="n"/>
      <c r="BB27" s="59" t="n"/>
      <c r="BC27" s="59" t="n"/>
      <c r="BD27" s="59" t="n"/>
      <c r="BE27" s="59" t="n"/>
      <c r="BF27" s="59" t="n"/>
      <c r="BG27" s="59" t="n"/>
    </row>
    <row r="28" ht="20.25" customFormat="1" customHeight="1" s="192">
      <c r="A28" s="54" t="n"/>
      <c r="B28" s="55" t="n"/>
      <c r="E28" s="191" t="n"/>
      <c r="F28" s="191" t="n"/>
      <c r="G28" s="191" t="n"/>
      <c r="H28" s="191" t="n"/>
      <c r="I28" s="211" t="n"/>
      <c r="J28" s="191" t="n"/>
      <c r="K28" s="211" t="n"/>
      <c r="L28" s="211" t="n"/>
      <c r="M28" s="191" t="n"/>
      <c r="N28" s="211" t="n"/>
      <c r="O28" s="211" t="n"/>
      <c r="P28" s="191" t="n"/>
      <c r="Q28" s="211" t="n"/>
      <c r="R28" s="211" t="n"/>
      <c r="S28" s="191" t="n"/>
      <c r="T28" s="211" t="n"/>
      <c r="U28" s="211" t="n"/>
      <c r="V28" s="191" t="n"/>
      <c r="W28" s="211" t="n"/>
      <c r="X28" s="211" t="n"/>
      <c r="Y28" s="211" t="n"/>
      <c r="Z28" s="191" t="n"/>
      <c r="AA28" s="191" t="n"/>
      <c r="AB28" s="191" t="n"/>
      <c r="AC28" s="191" t="n"/>
      <c r="AD28" s="211" t="n"/>
      <c r="AE28" s="191" t="n"/>
      <c r="AF28" s="211" t="n"/>
      <c r="AG28" s="211" t="n"/>
      <c r="AH28" s="191" t="n"/>
      <c r="AI28" s="211" t="n"/>
      <c r="AJ28" s="211" t="n"/>
      <c r="AK28" s="191" t="n"/>
      <c r="AL28" s="211" t="n"/>
      <c r="AM28" s="211" t="n"/>
      <c r="AN28" s="191" t="n"/>
      <c r="AO28" s="211" t="n"/>
      <c r="AP28" s="211" t="n"/>
      <c r="AQ28" s="191" t="n"/>
      <c r="AR28" s="211" t="n"/>
      <c r="AS28" s="211" t="n"/>
      <c r="AT28" s="211" t="n"/>
      <c r="AU28" s="211" t="n"/>
      <c r="AV28" s="211" t="n"/>
      <c r="AW28" s="66" t="n"/>
      <c r="BB28" s="59" t="n"/>
      <c r="BC28" s="59" t="n"/>
      <c r="BD28" s="59" t="n"/>
      <c r="BE28" s="59" t="n"/>
      <c r="BF28" s="59" t="n"/>
      <c r="BG28" s="59" t="n"/>
    </row>
    <row r="29" ht="20.25" customFormat="1" customHeight="1" s="192">
      <c r="A29" s="54" t="n"/>
      <c r="B29" s="55" t="n"/>
      <c r="C29" s="56" t="n"/>
      <c r="D29" s="56" t="n"/>
      <c r="E29" s="211" t="n"/>
      <c r="F29" s="211" t="n"/>
      <c r="G29" s="211" t="n"/>
      <c r="H29" s="211" t="n"/>
      <c r="I29" s="211" t="n"/>
      <c r="J29" s="211" t="n"/>
      <c r="K29" s="211" t="n"/>
      <c r="L29" s="211" t="n"/>
      <c r="M29" s="211" t="n"/>
      <c r="N29" s="211" t="n"/>
      <c r="O29" s="211" t="n"/>
      <c r="P29" s="211" t="n"/>
      <c r="Q29" s="211" t="n"/>
      <c r="R29" s="211" t="n"/>
      <c r="S29" s="211" t="n"/>
      <c r="T29" s="211" t="n"/>
      <c r="U29" s="211" t="n"/>
      <c r="V29" s="211" t="n"/>
      <c r="W29" s="211" t="n"/>
      <c r="X29" s="211" t="n"/>
      <c r="Y29" s="211" t="n"/>
      <c r="Z29" s="211" t="n"/>
      <c r="AA29" s="211" t="n"/>
      <c r="AB29" s="211" t="n"/>
      <c r="AC29" s="211" t="n"/>
      <c r="AD29" s="211" t="n"/>
      <c r="AE29" s="211" t="n"/>
      <c r="AF29" s="211" t="n"/>
      <c r="AG29" s="211" t="n"/>
      <c r="AH29" s="211" t="n"/>
      <c r="AI29" s="211" t="n"/>
      <c r="AJ29" s="211" t="n"/>
      <c r="AK29" s="211" t="n"/>
      <c r="AL29" s="211" t="n"/>
      <c r="AM29" s="211" t="n"/>
      <c r="AN29" s="211" t="n"/>
      <c r="AO29" s="211" t="n"/>
      <c r="AP29" s="211" t="n"/>
      <c r="AQ29" s="211" t="n"/>
      <c r="AR29" s="211" t="n"/>
      <c r="AS29" s="211" t="n"/>
      <c r="AT29" s="211" t="n"/>
      <c r="AU29" s="211" t="n"/>
      <c r="AV29" s="211" t="n"/>
      <c r="AW29" s="66" t="n"/>
      <c r="BB29" s="59" t="n"/>
      <c r="BC29" s="59" t="n"/>
      <c r="BD29" s="59" t="n"/>
      <c r="BE29" s="59" t="n"/>
      <c r="BF29" s="59" t="n"/>
      <c r="BG29" s="59" t="n"/>
    </row>
    <row r="30" ht="20.25" customFormat="1" customHeight="1" s="192">
      <c r="A30" s="54" t="n"/>
      <c r="B30" s="55" t="n"/>
      <c r="C30" s="56" t="n"/>
      <c r="D30" s="56" t="n"/>
      <c r="E30" s="211" t="n"/>
      <c r="F30" s="211" t="n"/>
      <c r="G30" s="211" t="n"/>
      <c r="H30" s="211" t="n"/>
      <c r="I30" s="211" t="n"/>
      <c r="J30" s="211" t="n"/>
      <c r="K30" s="211" t="n"/>
      <c r="L30" s="191" t="n"/>
      <c r="M30" s="211" t="n"/>
      <c r="N30" s="211" t="n"/>
      <c r="O30" s="211" t="n"/>
      <c r="P30" s="211" t="n"/>
      <c r="Q30" s="211" t="n"/>
      <c r="R30" s="211" t="n"/>
      <c r="S30" s="211" t="n"/>
      <c r="T30" s="211" t="n"/>
      <c r="U30" s="211" t="n"/>
      <c r="V30" s="211" t="n"/>
      <c r="W30" s="211" t="n"/>
      <c r="X30" s="211" t="n"/>
      <c r="Y30" s="211" t="n"/>
      <c r="Z30" s="211" t="n"/>
      <c r="AA30" s="211" t="n"/>
      <c r="AB30" s="211" t="n"/>
      <c r="AC30" s="211" t="n"/>
      <c r="AD30" s="211" t="n"/>
      <c r="AE30" s="211" t="n"/>
      <c r="AF30" s="211" t="n"/>
      <c r="AG30" s="191" t="n"/>
      <c r="AH30" s="211" t="n"/>
      <c r="AI30" s="211" t="n"/>
      <c r="AJ30" s="211" t="n"/>
      <c r="AK30" s="211" t="n"/>
      <c r="AL30" s="211" t="n"/>
      <c r="AM30" s="211" t="n"/>
      <c r="AN30" s="211" t="n"/>
      <c r="AO30" s="211" t="n"/>
      <c r="AP30" s="211" t="n"/>
      <c r="AQ30" s="211" t="n"/>
      <c r="AR30" s="211" t="n"/>
      <c r="AS30" s="211" t="n"/>
      <c r="AT30" s="211" t="n"/>
      <c r="AU30" s="211" t="n"/>
      <c r="AV30" s="211" t="n"/>
      <c r="AW30" s="66" t="n"/>
      <c r="BB30" s="59" t="n"/>
      <c r="BC30" s="59" t="n"/>
      <c r="BD30" s="59" t="n"/>
      <c r="BE30" s="59" t="n"/>
      <c r="BF30" s="59" t="n"/>
      <c r="BG30" s="59" t="n"/>
    </row>
    <row r="31" ht="20.25" customFormat="1" customHeight="1" s="192">
      <c r="A31" s="54" t="n"/>
      <c r="B31" s="55" t="n"/>
      <c r="C31" s="56" t="n"/>
      <c r="D31" s="56" t="n"/>
      <c r="E31" s="211" t="n"/>
      <c r="F31" s="211" t="n"/>
      <c r="G31" s="211" t="n"/>
      <c r="H31" s="211" t="n"/>
      <c r="I31" s="211" t="n"/>
      <c r="J31" s="211" t="n"/>
      <c r="K31" s="211" t="n"/>
      <c r="L31" s="211" t="n"/>
      <c r="M31" s="211" t="n"/>
      <c r="N31" s="211" t="n"/>
      <c r="O31" s="211" t="n"/>
      <c r="P31" s="211" t="n"/>
      <c r="Q31" s="211" t="n"/>
      <c r="R31" s="211" t="n"/>
      <c r="S31" s="211" t="n"/>
      <c r="T31" s="211" t="n"/>
      <c r="U31" s="211" t="n"/>
      <c r="V31" s="211" t="n"/>
      <c r="W31" s="211" t="n"/>
      <c r="X31" s="211" t="n"/>
      <c r="Y31" s="211" t="n"/>
      <c r="Z31" s="211" t="n"/>
      <c r="AA31" s="211" t="n"/>
      <c r="AB31" s="211" t="n"/>
      <c r="AC31" s="211" t="n"/>
      <c r="AD31" s="211" t="n"/>
      <c r="AE31" s="211" t="n"/>
      <c r="AF31" s="211" t="n"/>
      <c r="AG31" s="211" t="n"/>
      <c r="AH31" s="211" t="n"/>
      <c r="AI31" s="211" t="n"/>
      <c r="AJ31" s="211" t="n"/>
      <c r="AK31" s="211" t="n"/>
      <c r="AL31" s="211" t="n"/>
      <c r="AM31" s="211" t="n"/>
      <c r="AN31" s="211" t="n"/>
      <c r="AO31" s="211" t="n"/>
      <c r="AP31" s="211" t="n"/>
      <c r="AQ31" s="211" t="n"/>
      <c r="AR31" s="211" t="n"/>
      <c r="AS31" s="211" t="n"/>
      <c r="AT31" s="211" t="n"/>
      <c r="AU31" s="211" t="n"/>
      <c r="AV31" s="211" t="n"/>
      <c r="AW31" s="66" t="n"/>
      <c r="BB31" s="59" t="n"/>
      <c r="BC31" s="59" t="n"/>
      <c r="BD31" s="59" t="n"/>
      <c r="BE31" s="59" t="n"/>
      <c r="BF31" s="59" t="n"/>
      <c r="BG31" s="59" t="n"/>
    </row>
    <row r="32" ht="20.25" customFormat="1" customHeight="1" s="192">
      <c r="A32" s="54" t="n"/>
      <c r="B32" s="55" t="n"/>
      <c r="C32" s="56" t="n"/>
      <c r="D32" s="56" t="n"/>
      <c r="E32" s="211" t="n"/>
      <c r="F32" s="211" t="n"/>
      <c r="G32" s="211" t="n"/>
      <c r="H32" s="211" t="n"/>
      <c r="I32" s="211" t="n"/>
      <c r="J32" s="211" t="n"/>
      <c r="K32" s="211" t="n"/>
      <c r="L32" s="211" t="n"/>
      <c r="M32" s="211" t="n"/>
      <c r="N32" s="211" t="n"/>
      <c r="O32" s="211" t="n"/>
      <c r="P32" s="211" t="n"/>
      <c r="Q32" s="211" t="n"/>
      <c r="R32" s="211" t="n"/>
      <c r="S32" s="211" t="n"/>
      <c r="T32" s="211" t="n"/>
      <c r="U32" s="211" t="n"/>
      <c r="V32" s="211" t="n"/>
      <c r="W32" s="211" t="n"/>
      <c r="X32" s="211" t="n"/>
      <c r="Y32" s="211" t="n"/>
      <c r="Z32" s="211" t="n"/>
      <c r="AA32" s="211" t="n"/>
      <c r="AB32" s="211" t="n"/>
      <c r="AC32" s="211" t="n"/>
      <c r="AD32" s="211" t="n"/>
      <c r="AE32" s="211" t="n"/>
      <c r="AF32" s="211" t="n"/>
      <c r="AG32" s="211" t="n"/>
      <c r="AH32" s="211" t="n"/>
      <c r="AI32" s="211" t="n"/>
      <c r="AJ32" s="211" t="n"/>
      <c r="AK32" s="211" t="n"/>
      <c r="AL32" s="211" t="n"/>
      <c r="AM32" s="211" t="n"/>
      <c r="AN32" s="211" t="n"/>
      <c r="AO32" s="211" t="n"/>
      <c r="AP32" s="211" t="n"/>
      <c r="AQ32" s="211" t="n"/>
      <c r="AR32" s="211" t="n"/>
      <c r="AS32" s="211" t="n"/>
      <c r="AT32" s="211" t="n"/>
      <c r="AU32" s="211" t="n"/>
      <c r="AV32" s="211" t="n"/>
      <c r="AW32" s="66" t="n"/>
      <c r="BB32" s="59" t="n"/>
      <c r="BC32" s="59" t="n"/>
      <c r="BD32" s="59" t="n"/>
      <c r="BE32" s="59" t="n"/>
      <c r="BF32" s="59" t="n"/>
      <c r="BG32" s="59" t="n"/>
    </row>
  </sheetData>
  <mergeCells count="44">
    <mergeCell ref="E25:F25"/>
    <mergeCell ref="B17:D17"/>
    <mergeCell ref="B18:D18"/>
    <mergeCell ref="B19:D19"/>
    <mergeCell ref="B20:D20"/>
    <mergeCell ref="B21:D21"/>
    <mergeCell ref="B22:D22"/>
    <mergeCell ref="B14:D14"/>
    <mergeCell ref="AX14:AX16"/>
    <mergeCell ref="B15:D15"/>
    <mergeCell ref="B16:D16"/>
    <mergeCell ref="B23:D23"/>
    <mergeCell ref="B11:D11"/>
    <mergeCell ref="B12:D12"/>
    <mergeCell ref="AX12:AY12"/>
    <mergeCell ref="B10:D10"/>
    <mergeCell ref="B13:D13"/>
    <mergeCell ref="AU4:AW4"/>
    <mergeCell ref="B6:D6"/>
    <mergeCell ref="Z4:AB4"/>
    <mergeCell ref="AC4:AE4"/>
    <mergeCell ref="AX8:AX9"/>
    <mergeCell ref="B9:D9"/>
    <mergeCell ref="B7:D7"/>
    <mergeCell ref="B8:D8"/>
    <mergeCell ref="B5:D5"/>
    <mergeCell ref="T4:V4"/>
    <mergeCell ref="W4:Y4"/>
    <mergeCell ref="A2:D2"/>
    <mergeCell ref="AY2:AZ2"/>
    <mergeCell ref="B3:D3"/>
    <mergeCell ref="AX3:AY3"/>
    <mergeCell ref="B4:D4"/>
    <mergeCell ref="E4:G4"/>
    <mergeCell ref="H4:J4"/>
    <mergeCell ref="K4:M4"/>
    <mergeCell ref="N4:P4"/>
    <mergeCell ref="Q4:S4"/>
    <mergeCell ref="AX4:AY4"/>
    <mergeCell ref="AF4:AH4"/>
    <mergeCell ref="AI4:AK4"/>
    <mergeCell ref="AL4:AN4"/>
    <mergeCell ref="AO4:AQ4"/>
    <mergeCell ref="AR4:AT4"/>
  </mergeCells>
  <printOptions horizontalCentered="1"/>
  <pageMargins left="0.393700787401575" right="0.393700787401575" top="0.590551181102362" bottom="0.393700787401575" header="0.393700787401575" footer="0.196850393700787"/>
  <pageSetup orientation="landscape" paperSize="8" scale="21"/>
  <headerFooter>
    <oddHeader>&amp;R&amp;"HG丸ｺﾞｼｯｸM-PRO,標準"&amp;14 ＳＨＣ</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tabColor rgb="FF7030A0"/>
    <outlinePr summaryBelow="1" summaryRight="1"/>
    <pageSetUpPr fitToPage="1"/>
  </sheetPr>
  <dimension ref="A1:BG32"/>
  <sheetViews>
    <sheetView showGridLines="0" view="pageBreakPreview" topLeftCell="B1" zoomScale="40" zoomScaleNormal="100" zoomScaleSheetLayoutView="40" zoomScalePageLayoutView="80" workbookViewId="0">
      <pane xSplit="3" ySplit="6" topLeftCell="E7" activePane="bottomRight" state="frozen"/>
      <selection activeCell="B1" sqref="B1"/>
      <selection pane="topRight" activeCell="E1" sqref="E1"/>
      <selection pane="bottomLeft" activeCell="B6" sqref="B6"/>
      <selection pane="bottomRight" activeCell="B4" sqref="B4:D4"/>
    </sheetView>
  </sheetViews>
  <sheetFormatPr baseColWidth="8" defaultColWidth="9" defaultRowHeight="20.25" customHeight="1" outlineLevelRow="1"/>
  <cols>
    <col width="9" customWidth="1" style="54" min="1" max="1"/>
    <col width="20.59765625" customWidth="1" style="55" min="2" max="2"/>
    <col width="20.59765625" customWidth="1" style="56" min="3" max="4"/>
    <col width="18.265625" customWidth="1" style="211" min="5" max="8"/>
    <col width="16.1328125" customWidth="1" style="211" min="9" max="9"/>
    <col width="18.265625" customWidth="1" style="211" min="10" max="22"/>
    <col width="23.33203125" bestFit="1" customWidth="1" style="211" min="23" max="23"/>
    <col width="18.265625" customWidth="1" style="211" min="24" max="43"/>
    <col width="23.33203125" bestFit="1" customWidth="1" style="211" min="44" max="44"/>
    <col width="18.265625" customWidth="1" style="211" min="45" max="46"/>
    <col width="23.33203125" bestFit="1" customWidth="1" style="211" min="47" max="47"/>
    <col width="18.265625" customWidth="1" style="211" min="48" max="48"/>
    <col width="18.265625" customWidth="1" style="66" min="49" max="49"/>
    <col width="10.06640625" customWidth="1" style="192" min="50" max="51"/>
    <col width="12.33203125" customWidth="1" style="192" min="52" max="52"/>
    <col width="2.33203125" customWidth="1" style="192" min="53" max="53"/>
    <col width="9" customWidth="1" style="59" min="54" max="58"/>
    <col width="25.796875" customWidth="1" style="59" min="59" max="59"/>
    <col width="9" customWidth="1" style="59" min="60" max="61"/>
    <col width="9" customWidth="1" style="59" min="62" max="16384"/>
  </cols>
  <sheetData>
    <row r="1" ht="20.25" customHeight="1" s="154">
      <c r="AW1" s="211" t="n"/>
    </row>
    <row r="2" ht="80.25" customFormat="1" customHeight="1" s="181">
      <c r="A2" s="180" t="inlineStr">
        <is>
          <t>2025年通期</t>
        </is>
      </c>
      <c r="E2" s="60" t="n"/>
      <c r="F2" s="60" t="n"/>
      <c r="G2" s="60" t="n"/>
      <c r="H2" s="60" t="n"/>
      <c r="I2" s="60" t="n"/>
      <c r="J2" s="60" t="n"/>
      <c r="K2" s="60" t="n"/>
      <c r="L2" s="60" t="n"/>
      <c r="M2" s="60" t="n"/>
      <c r="N2" s="60" t="n"/>
      <c r="O2" s="60" t="n"/>
      <c r="P2" s="60" t="n"/>
      <c r="Q2" s="60" t="n"/>
      <c r="R2" s="60" t="n"/>
      <c r="S2" s="60" t="n"/>
      <c r="T2" s="60" t="n"/>
      <c r="U2" s="60" t="n"/>
      <c r="V2" s="60" t="n"/>
      <c r="W2" s="60" t="n"/>
      <c r="X2" s="60" t="n"/>
      <c r="Y2" s="60" t="n"/>
      <c r="Z2" s="60" t="n"/>
      <c r="AA2" s="60" t="n"/>
      <c r="AB2" s="60" t="n"/>
      <c r="AC2" s="60" t="n"/>
      <c r="AD2" s="60" t="n"/>
      <c r="AE2" s="60" t="n"/>
      <c r="AF2" s="60" t="n"/>
      <c r="AG2" s="60" t="n"/>
      <c r="AH2" s="60" t="n"/>
      <c r="AI2" s="60" t="n"/>
      <c r="AJ2" s="60" t="n"/>
      <c r="AK2" s="60" t="n"/>
      <c r="AL2" s="60" t="n"/>
      <c r="AM2" s="60" t="n"/>
      <c r="AN2" s="60" t="n"/>
      <c r="AO2" s="60" t="n"/>
      <c r="AP2" s="60" t="n"/>
      <c r="AQ2" s="60" t="n"/>
      <c r="AR2" s="60" t="n"/>
      <c r="AS2" s="60" t="n"/>
      <c r="AT2" s="60" t="n"/>
      <c r="AU2" s="60" t="n"/>
      <c r="AV2" s="60" t="n"/>
      <c r="AW2" s="60" t="n"/>
      <c r="AX2" s="61" t="n"/>
      <c r="AY2" s="182" t="n"/>
      <c r="BA2" s="62" t="n"/>
    </row>
    <row r="3" ht="80.25" customFormat="1" customHeight="1" s="181">
      <c r="A3" s="64" t="n"/>
      <c r="B3" s="183" t="inlineStr">
        <is>
          <t>紹介状況・目標</t>
        </is>
      </c>
      <c r="C3" s="184" t="n"/>
      <c r="D3" s="184" t="n"/>
      <c r="E3" s="60" t="n"/>
      <c r="F3" s="60" t="n"/>
      <c r="G3" s="60" t="n"/>
      <c r="H3" s="60" t="n"/>
      <c r="I3" s="60" t="n"/>
      <c r="J3" s="60" t="n"/>
      <c r="K3" s="60" t="n"/>
      <c r="L3" s="60" t="n"/>
      <c r="M3" s="60" t="n"/>
      <c r="N3" s="60" t="n"/>
      <c r="O3" s="60" t="n"/>
      <c r="P3" s="60" t="n"/>
      <c r="Q3" s="60" t="n"/>
      <c r="R3" s="60" t="n"/>
      <c r="S3" s="60" t="n"/>
      <c r="T3" s="60" t="n"/>
      <c r="U3" s="60" t="n"/>
      <c r="V3" s="60" t="n"/>
      <c r="W3" s="60" t="n"/>
      <c r="X3" s="60" t="n"/>
      <c r="Y3" s="60" t="n"/>
      <c r="Z3" s="60" t="n"/>
      <c r="AA3" s="60" t="n"/>
      <c r="AB3" s="60" t="n"/>
      <c r="AC3" s="60" t="n"/>
      <c r="AD3" s="60" t="n"/>
      <c r="AE3" s="60" t="n"/>
      <c r="AF3" s="60" t="n"/>
      <c r="AG3" s="60" t="n"/>
      <c r="AH3" s="60" t="n"/>
      <c r="AI3" s="60" t="n"/>
      <c r="AJ3" s="60" t="n"/>
      <c r="AK3" s="60" t="n"/>
      <c r="AL3" s="60" t="n"/>
      <c r="AM3" s="60" t="n"/>
      <c r="AN3" s="60" t="n"/>
      <c r="AO3" s="60" t="n"/>
      <c r="AP3" s="60" t="n"/>
      <c r="AQ3" s="60" t="n"/>
      <c r="AR3" s="60" t="n"/>
      <c r="AS3" s="60" t="n"/>
      <c r="AT3" s="60" t="n"/>
      <c r="AU3" s="60" t="n"/>
      <c r="AV3" s="60" t="n"/>
      <c r="AW3" s="60" t="inlineStr">
        <is>
          <t>単位(千円）</t>
        </is>
      </c>
      <c r="AX3" s="185" t="n"/>
    </row>
    <row r="4" ht="76.05" customHeight="1" s="154">
      <c r="B4" s="186" t="n"/>
      <c r="C4" s="187" t="n"/>
      <c r="D4" s="188" t="n"/>
      <c r="E4" s="189" t="inlineStr">
        <is>
          <t>４月</t>
        </is>
      </c>
      <c r="F4" s="187" t="n"/>
      <c r="G4" s="190" t="n"/>
      <c r="H4" s="189" t="inlineStr">
        <is>
          <t>5月</t>
        </is>
      </c>
      <c r="I4" s="187" t="n"/>
      <c r="J4" s="190" t="n"/>
      <c r="K4" s="189" t="inlineStr">
        <is>
          <t>6月</t>
        </is>
      </c>
      <c r="L4" s="187" t="n"/>
      <c r="M4" s="190" t="n"/>
      <c r="N4" s="189" t="inlineStr">
        <is>
          <t>7月</t>
        </is>
      </c>
      <c r="O4" s="187" t="n"/>
      <c r="P4" s="190" t="n"/>
      <c r="Q4" s="189" t="inlineStr">
        <is>
          <t>8月</t>
        </is>
      </c>
      <c r="R4" s="187" t="n"/>
      <c r="S4" s="190" t="n"/>
      <c r="T4" s="189" t="inlineStr">
        <is>
          <t>9月</t>
        </is>
      </c>
      <c r="U4" s="187" t="n"/>
      <c r="V4" s="190" t="n"/>
      <c r="W4" s="193" t="inlineStr">
        <is>
          <t xml:space="preserve">上期 </t>
        </is>
      </c>
      <c r="X4" s="187" t="n"/>
      <c r="Y4" s="190" t="n"/>
      <c r="Z4" s="189" t="inlineStr">
        <is>
          <t>10月</t>
        </is>
      </c>
      <c r="AA4" s="187" t="n"/>
      <c r="AB4" s="190" t="n"/>
      <c r="AC4" s="189" t="inlineStr">
        <is>
          <t>11月</t>
        </is>
      </c>
      <c r="AD4" s="187" t="n"/>
      <c r="AE4" s="190" t="n"/>
      <c r="AF4" s="189" t="inlineStr">
        <is>
          <t>12月</t>
        </is>
      </c>
      <c r="AG4" s="187" t="n"/>
      <c r="AH4" s="190" t="n"/>
      <c r="AI4" s="189" t="inlineStr">
        <is>
          <t>1月</t>
        </is>
      </c>
      <c r="AJ4" s="187" t="n"/>
      <c r="AK4" s="190" t="n"/>
      <c r="AL4" s="189" t="inlineStr">
        <is>
          <t>2月</t>
        </is>
      </c>
      <c r="AM4" s="187" t="n"/>
      <c r="AN4" s="190" t="n"/>
      <c r="AO4" s="189" t="inlineStr">
        <is>
          <t>3月</t>
        </is>
      </c>
      <c r="AP4" s="187" t="n"/>
      <c r="AQ4" s="190" t="n"/>
      <c r="AR4" s="193" t="inlineStr">
        <is>
          <t>下期</t>
        </is>
      </c>
      <c r="AS4" s="187" t="n"/>
      <c r="AT4" s="190" t="n"/>
      <c r="AU4" s="219" t="inlineStr">
        <is>
          <t>総合計</t>
        </is>
      </c>
      <c r="AV4" s="187" t="n"/>
      <c r="AW4" s="190" t="n"/>
      <c r="AX4" s="191" t="n"/>
      <c r="AZ4" s="191" t="n"/>
      <c r="BA4" s="191" t="n"/>
    </row>
    <row r="5" ht="88.5" customHeight="1" s="154">
      <c r="B5" s="204" t="n"/>
      <c r="C5" s="187" t="n"/>
      <c r="D5" s="190" t="n"/>
      <c r="E5" s="94" t="inlineStr">
        <is>
          <t>目標</t>
        </is>
      </c>
      <c r="F5" s="95" t="inlineStr">
        <is>
          <t>実績</t>
        </is>
      </c>
      <c r="G5" s="96" t="inlineStr">
        <is>
          <t>達成率</t>
        </is>
      </c>
      <c r="H5" s="94" t="inlineStr">
        <is>
          <t>目標</t>
        </is>
      </c>
      <c r="I5" s="95" t="inlineStr">
        <is>
          <t>実績</t>
        </is>
      </c>
      <c r="J5" s="96" t="inlineStr">
        <is>
          <t>達成率</t>
        </is>
      </c>
      <c r="K5" s="94" t="inlineStr">
        <is>
          <t>目標</t>
        </is>
      </c>
      <c r="L5" s="95" t="inlineStr">
        <is>
          <t>実績</t>
        </is>
      </c>
      <c r="M5" s="96" t="inlineStr">
        <is>
          <t>達成率</t>
        </is>
      </c>
      <c r="N5" s="94" t="inlineStr">
        <is>
          <t>目標</t>
        </is>
      </c>
      <c r="O5" s="95" t="inlineStr">
        <is>
          <t>実績</t>
        </is>
      </c>
      <c r="P5" s="96" t="inlineStr">
        <is>
          <t>達成率</t>
        </is>
      </c>
      <c r="Q5" s="94" t="inlineStr">
        <is>
          <t>目標</t>
        </is>
      </c>
      <c r="R5" s="95" t="inlineStr">
        <is>
          <t>実績</t>
        </is>
      </c>
      <c r="S5" s="96" t="inlineStr">
        <is>
          <t>達成率</t>
        </is>
      </c>
      <c r="T5" s="94" t="inlineStr">
        <is>
          <t>目標</t>
        </is>
      </c>
      <c r="U5" s="95" t="inlineStr">
        <is>
          <t>実績</t>
        </is>
      </c>
      <c r="V5" s="96" t="inlineStr">
        <is>
          <t>達成率</t>
        </is>
      </c>
      <c r="W5" s="94" t="inlineStr">
        <is>
          <t>目標</t>
        </is>
      </c>
      <c r="X5" s="95" t="inlineStr">
        <is>
          <t>実績</t>
        </is>
      </c>
      <c r="Y5" s="96" t="inlineStr">
        <is>
          <t>達成率</t>
        </is>
      </c>
      <c r="Z5" s="94" t="inlineStr">
        <is>
          <t>目標</t>
        </is>
      </c>
      <c r="AA5" s="95" t="inlineStr">
        <is>
          <t>実績</t>
        </is>
      </c>
      <c r="AB5" s="96" t="inlineStr">
        <is>
          <t>達成率</t>
        </is>
      </c>
      <c r="AC5" s="94" t="inlineStr">
        <is>
          <t>目標</t>
        </is>
      </c>
      <c r="AD5" s="95" t="inlineStr">
        <is>
          <t>実績</t>
        </is>
      </c>
      <c r="AE5" s="96" t="inlineStr">
        <is>
          <t>達成率</t>
        </is>
      </c>
      <c r="AF5" s="94" t="inlineStr">
        <is>
          <t>目標</t>
        </is>
      </c>
      <c r="AG5" s="95" t="inlineStr">
        <is>
          <t>実績</t>
        </is>
      </c>
      <c r="AH5" s="96" t="inlineStr">
        <is>
          <t>達成率</t>
        </is>
      </c>
      <c r="AI5" s="94" t="inlineStr">
        <is>
          <t>目標</t>
        </is>
      </c>
      <c r="AJ5" s="95" t="inlineStr">
        <is>
          <t>実績</t>
        </is>
      </c>
      <c r="AK5" s="96" t="inlineStr">
        <is>
          <t>達成率</t>
        </is>
      </c>
      <c r="AL5" s="94" t="inlineStr">
        <is>
          <t>目標</t>
        </is>
      </c>
      <c r="AM5" s="95" t="inlineStr">
        <is>
          <t>実績</t>
        </is>
      </c>
      <c r="AN5" s="96" t="inlineStr">
        <is>
          <t>達成率</t>
        </is>
      </c>
      <c r="AO5" s="94" t="inlineStr">
        <is>
          <t>目標</t>
        </is>
      </c>
      <c r="AP5" s="95" t="inlineStr">
        <is>
          <t>実績</t>
        </is>
      </c>
      <c r="AQ5" s="96" t="inlineStr">
        <is>
          <t>達成率</t>
        </is>
      </c>
      <c r="AR5" s="94" t="inlineStr">
        <is>
          <t>目標</t>
        </is>
      </c>
      <c r="AS5" s="95" t="inlineStr">
        <is>
          <t>実績</t>
        </is>
      </c>
      <c r="AT5" s="96" t="inlineStr">
        <is>
          <t>達成率</t>
        </is>
      </c>
      <c r="AU5" s="94" t="inlineStr">
        <is>
          <t>目標</t>
        </is>
      </c>
      <c r="AV5" s="95" t="inlineStr">
        <is>
          <t>実績</t>
        </is>
      </c>
      <c r="AW5" s="96" t="inlineStr">
        <is>
          <t>達成率</t>
        </is>
      </c>
      <c r="AX5" s="191" t="n"/>
      <c r="AY5" s="191" t="n"/>
      <c r="AZ5" s="191" t="n"/>
      <c r="BA5" s="191" t="n"/>
    </row>
    <row r="6" ht="99" customHeight="1" s="154">
      <c r="B6" s="220" t="inlineStr">
        <is>
          <t>総合計</t>
        </is>
      </c>
      <c r="C6" s="187" t="n"/>
      <c r="D6" s="188" t="n"/>
      <c r="E6" s="89">
        <f>E12+E17+E23</f>
        <v/>
      </c>
      <c r="F6" s="90">
        <f>F12+F17+F23</f>
        <v/>
      </c>
      <c r="G6" s="85">
        <f>F6/E6</f>
        <v/>
      </c>
      <c r="H6" s="79">
        <f>H12+H17+H23</f>
        <v/>
      </c>
      <c r="I6" s="78">
        <f>I12+I17+I23</f>
        <v/>
      </c>
      <c r="J6" s="85">
        <f>I6/H6</f>
        <v/>
      </c>
      <c r="K6" s="78">
        <f>K12+K17+K23</f>
        <v/>
      </c>
      <c r="L6" s="78">
        <f>L12+L17+L23</f>
        <v/>
      </c>
      <c r="M6" s="85">
        <f>L6/K6</f>
        <v/>
      </c>
      <c r="N6" s="78">
        <f>N12+N17+N23</f>
        <v/>
      </c>
      <c r="O6" s="78">
        <f>O12+O17+O23</f>
        <v/>
      </c>
      <c r="P6" s="85">
        <f>O6/N6</f>
        <v/>
      </c>
      <c r="Q6" s="78">
        <f>Q12+Q17+Q23</f>
        <v/>
      </c>
      <c r="R6" s="78">
        <f>R12+R17+R23</f>
        <v/>
      </c>
      <c r="S6" s="85">
        <f>R6/Q6</f>
        <v/>
      </c>
      <c r="T6" s="78">
        <f>T12+T17+T23</f>
        <v/>
      </c>
      <c r="U6" s="78">
        <f>U12+U17+U23</f>
        <v/>
      </c>
      <c r="V6" s="85">
        <f>U6/T6</f>
        <v/>
      </c>
      <c r="W6" s="78">
        <f>W12+W17+W23</f>
        <v/>
      </c>
      <c r="X6" s="78">
        <f>X12+X17+X23</f>
        <v/>
      </c>
      <c r="Y6" s="85">
        <f>X6/W6</f>
        <v/>
      </c>
      <c r="Z6" s="78">
        <f>Z12+Z17+Z23</f>
        <v/>
      </c>
      <c r="AA6" s="78">
        <f>AA12+AA17+AA23</f>
        <v/>
      </c>
      <c r="AB6" s="85">
        <f>AA6/Z6</f>
        <v/>
      </c>
      <c r="AC6" s="78">
        <f>AC12+AC17+AC23</f>
        <v/>
      </c>
      <c r="AD6" s="78">
        <f>AD12+AD17+AD23</f>
        <v/>
      </c>
      <c r="AE6" s="85">
        <f>AD6/AC6</f>
        <v/>
      </c>
      <c r="AF6" s="78">
        <f>AF12+AF17+AF23</f>
        <v/>
      </c>
      <c r="AG6" s="78">
        <f>AG12+AG17+AG23</f>
        <v/>
      </c>
      <c r="AH6" s="85">
        <f>AG6/AF6</f>
        <v/>
      </c>
      <c r="AI6" s="78">
        <f>AI12+AI17+AI23</f>
        <v/>
      </c>
      <c r="AJ6" s="78">
        <f>AJ12+AJ17+AJ23</f>
        <v/>
      </c>
      <c r="AK6" s="85">
        <f>AJ6/AI6</f>
        <v/>
      </c>
      <c r="AL6" s="78">
        <f>AL12+AL17+AL23</f>
        <v/>
      </c>
      <c r="AM6" s="78">
        <f>AM12+AM17+AM23</f>
        <v/>
      </c>
      <c r="AN6" s="85">
        <f>AM6/AL6</f>
        <v/>
      </c>
      <c r="AO6" s="78">
        <f>AO12+AO17+AO23</f>
        <v/>
      </c>
      <c r="AP6" s="78">
        <f>AP12+AP17+AP23</f>
        <v/>
      </c>
      <c r="AQ6" s="85">
        <f>AP6/AO6</f>
        <v/>
      </c>
      <c r="AR6" s="78">
        <f>AR12+AR17+AR23</f>
        <v/>
      </c>
      <c r="AS6" s="78">
        <f>AS12+AS17+AS23</f>
        <v/>
      </c>
      <c r="AT6" s="85">
        <f>AS6/AR6</f>
        <v/>
      </c>
      <c r="AU6" s="78">
        <f>AU12+AU17+AU23</f>
        <v/>
      </c>
      <c r="AV6" s="78">
        <f>AV12+AV17+AV23</f>
        <v/>
      </c>
      <c r="AW6" s="97">
        <f>AV6/AU6</f>
        <v/>
      </c>
      <c r="AX6" s="191" t="n"/>
      <c r="AY6" s="191" t="n"/>
      <c r="AZ6" s="191" t="n"/>
      <c r="BA6" s="191" t="n"/>
    </row>
    <row r="7" ht="80.25" customHeight="1" s="154">
      <c r="B7" s="208" t="inlineStr">
        <is>
          <t>外部紹介</t>
        </is>
      </c>
      <c r="C7" s="202" t="n"/>
      <c r="D7" s="203" t="n"/>
      <c r="E7" s="76" t="inlineStr">
        <is>
          <t>目標</t>
        </is>
      </c>
      <c r="F7" s="92" t="inlineStr">
        <is>
          <t>実績</t>
        </is>
      </c>
      <c r="G7" s="108" t="inlineStr">
        <is>
          <t>達成率</t>
        </is>
      </c>
      <c r="H7" s="73" t="inlineStr">
        <is>
          <t>目標</t>
        </is>
      </c>
      <c r="I7" s="68" t="inlineStr">
        <is>
          <t>実績</t>
        </is>
      </c>
      <c r="J7" s="108" t="inlineStr">
        <is>
          <t>達成率</t>
        </is>
      </c>
      <c r="K7" s="68" t="inlineStr">
        <is>
          <t>目標</t>
        </is>
      </c>
      <c r="L7" s="68" t="inlineStr">
        <is>
          <t>実績</t>
        </is>
      </c>
      <c r="M7" s="108" t="inlineStr">
        <is>
          <t>達成率</t>
        </is>
      </c>
      <c r="N7" s="68" t="inlineStr">
        <is>
          <t>目標</t>
        </is>
      </c>
      <c r="O7" s="68" t="inlineStr">
        <is>
          <t>実績</t>
        </is>
      </c>
      <c r="P7" s="108" t="inlineStr">
        <is>
          <t>達成率</t>
        </is>
      </c>
      <c r="Q7" s="68" t="inlineStr">
        <is>
          <t>目標</t>
        </is>
      </c>
      <c r="R7" s="68" t="inlineStr">
        <is>
          <t>実績</t>
        </is>
      </c>
      <c r="S7" s="108" t="inlineStr">
        <is>
          <t>達成率</t>
        </is>
      </c>
      <c r="T7" s="68" t="inlineStr">
        <is>
          <t>目標</t>
        </is>
      </c>
      <c r="U7" s="68" t="inlineStr">
        <is>
          <t>実績</t>
        </is>
      </c>
      <c r="V7" s="108" t="inlineStr">
        <is>
          <t>達成率</t>
        </is>
      </c>
      <c r="W7" s="68" t="inlineStr">
        <is>
          <t>目標</t>
        </is>
      </c>
      <c r="X7" s="68" t="inlineStr">
        <is>
          <t>実績</t>
        </is>
      </c>
      <c r="Y7" s="108" t="inlineStr">
        <is>
          <t>達成率</t>
        </is>
      </c>
      <c r="Z7" s="68" t="inlineStr">
        <is>
          <t>目標</t>
        </is>
      </c>
      <c r="AA7" s="68" t="inlineStr">
        <is>
          <t>実績</t>
        </is>
      </c>
      <c r="AB7" s="108" t="inlineStr">
        <is>
          <t>達成率</t>
        </is>
      </c>
      <c r="AC7" s="68" t="inlineStr">
        <is>
          <t>目標</t>
        </is>
      </c>
      <c r="AD7" s="68" t="inlineStr">
        <is>
          <t>実績</t>
        </is>
      </c>
      <c r="AE7" s="108" t="inlineStr">
        <is>
          <t>達成率</t>
        </is>
      </c>
      <c r="AF7" s="68" t="inlineStr">
        <is>
          <t>目標</t>
        </is>
      </c>
      <c r="AG7" s="68" t="inlineStr">
        <is>
          <t>実績</t>
        </is>
      </c>
      <c r="AH7" s="108" t="inlineStr">
        <is>
          <t>達成率</t>
        </is>
      </c>
      <c r="AI7" s="68" t="inlineStr">
        <is>
          <t>目標</t>
        </is>
      </c>
      <c r="AJ7" s="68" t="inlineStr">
        <is>
          <t>実績</t>
        </is>
      </c>
      <c r="AK7" s="108" t="inlineStr">
        <is>
          <t>達成率</t>
        </is>
      </c>
      <c r="AL7" s="68" t="inlineStr">
        <is>
          <t>目標</t>
        </is>
      </c>
      <c r="AM7" s="68" t="inlineStr">
        <is>
          <t>実績</t>
        </is>
      </c>
      <c r="AN7" s="108" t="inlineStr">
        <is>
          <t>達成率</t>
        </is>
      </c>
      <c r="AO7" s="68" t="inlineStr">
        <is>
          <t>目標</t>
        </is>
      </c>
      <c r="AP7" s="68" t="inlineStr">
        <is>
          <t>実績</t>
        </is>
      </c>
      <c r="AQ7" s="108" t="inlineStr">
        <is>
          <t>達成率</t>
        </is>
      </c>
      <c r="AR7" s="68" t="inlineStr">
        <is>
          <t>目標</t>
        </is>
      </c>
      <c r="AS7" s="68" t="inlineStr">
        <is>
          <t>実績</t>
        </is>
      </c>
      <c r="AT7" s="108" t="inlineStr">
        <is>
          <t>達成率</t>
        </is>
      </c>
      <c r="AU7" s="68" t="inlineStr">
        <is>
          <t>目標</t>
        </is>
      </c>
      <c r="AV7" s="68" t="inlineStr">
        <is>
          <t>実績</t>
        </is>
      </c>
      <c r="AW7" s="108" t="inlineStr">
        <is>
          <t>達成率</t>
        </is>
      </c>
      <c r="AX7" s="191" t="n"/>
      <c r="AY7" s="191" t="n"/>
      <c r="BA7" s="54" t="n"/>
    </row>
    <row r="8" ht="80.25" customHeight="1" s="154">
      <c r="B8" s="198" t="inlineStr">
        <is>
          <t>技人国</t>
        </is>
      </c>
      <c r="C8" s="199" t="n"/>
      <c r="D8" s="200" t="n"/>
      <c r="E8" s="74" t="n">
        <v>900</v>
      </c>
      <c r="F8" s="86" t="n">
        <v>400</v>
      </c>
      <c r="G8" s="93">
        <f>F8/E8</f>
        <v/>
      </c>
      <c r="H8" s="71" t="n">
        <v>900</v>
      </c>
      <c r="I8" s="67" t="n">
        <v>0</v>
      </c>
      <c r="J8" s="93">
        <f>I8/H8</f>
        <v/>
      </c>
      <c r="K8" s="67" t="n">
        <v>900</v>
      </c>
      <c r="L8" s="67" t="n">
        <v>0</v>
      </c>
      <c r="M8" s="93">
        <f>L8/K8</f>
        <v/>
      </c>
      <c r="N8" s="67" t="n">
        <v>900</v>
      </c>
      <c r="O8" s="67" t="n"/>
      <c r="P8" s="93">
        <f>O8/N8</f>
        <v/>
      </c>
      <c r="Q8" s="67" t="n">
        <v>900</v>
      </c>
      <c r="R8" s="67" t="n"/>
      <c r="S8" s="93">
        <f>R8/Q8</f>
        <v/>
      </c>
      <c r="T8" s="67" t="n">
        <v>900</v>
      </c>
      <c r="U8" s="67" t="n"/>
      <c r="V8" s="93">
        <f>U8/T8</f>
        <v/>
      </c>
      <c r="W8" s="67">
        <f>E8+H8+K8+N8+Q8+T8</f>
        <v/>
      </c>
      <c r="X8" s="67">
        <f>F8+I8+L8+O8+R8+U8</f>
        <v/>
      </c>
      <c r="Y8" s="93">
        <f>X8/W8</f>
        <v/>
      </c>
      <c r="Z8" s="67" t="n">
        <v>900</v>
      </c>
      <c r="AA8" s="67" t="n"/>
      <c r="AB8" s="93">
        <f>AA8/Z8</f>
        <v/>
      </c>
      <c r="AC8" s="67" t="n">
        <v>900</v>
      </c>
      <c r="AD8" s="67" t="n"/>
      <c r="AE8" s="93">
        <f>AD8/AC8</f>
        <v/>
      </c>
      <c r="AF8" s="67" t="n">
        <v>900</v>
      </c>
      <c r="AG8" s="67" t="n"/>
      <c r="AH8" s="93">
        <f>AG8/AF8</f>
        <v/>
      </c>
      <c r="AI8" s="67" t="n">
        <v>900</v>
      </c>
      <c r="AJ8" s="67" t="n"/>
      <c r="AK8" s="93">
        <f>AJ8/AI8</f>
        <v/>
      </c>
      <c r="AL8" s="67" t="n">
        <v>900</v>
      </c>
      <c r="AM8" s="67" t="n"/>
      <c r="AN8" s="93">
        <f>AM8/AL8</f>
        <v/>
      </c>
      <c r="AO8" s="67" t="n">
        <v>900</v>
      </c>
      <c r="AP8" s="67" t="n"/>
      <c r="AQ8" s="93">
        <f>AP8/AO8</f>
        <v/>
      </c>
      <c r="AR8" s="67">
        <f>SUM(Z8:AP8)</f>
        <v/>
      </c>
      <c r="AS8" s="67">
        <f>AA8+AD8+AG8+AJ8+AM8+AP8</f>
        <v/>
      </c>
      <c r="AT8" s="93">
        <f>AS8/AR8</f>
        <v/>
      </c>
      <c r="AU8" s="67">
        <f>W8+AR8</f>
        <v/>
      </c>
      <c r="AV8" s="67">
        <f>X8+AS8</f>
        <v/>
      </c>
      <c r="AW8" s="98">
        <f>AV8/AU8</f>
        <v/>
      </c>
      <c r="AX8" s="191" t="n"/>
      <c r="BA8" s="54" t="n"/>
    </row>
    <row r="9" ht="80.25" customHeight="1" s="154">
      <c r="B9" s="198" t="inlineStr">
        <is>
          <t>特定技能</t>
        </is>
      </c>
      <c r="C9" s="199" t="n"/>
      <c r="D9" s="200" t="n"/>
      <c r="E9" s="74" t="n">
        <v>200</v>
      </c>
      <c r="F9" s="67" t="n">
        <v>0</v>
      </c>
      <c r="G9" s="93">
        <f>F9/E9</f>
        <v/>
      </c>
      <c r="H9" s="71" t="n">
        <v>200</v>
      </c>
      <c r="I9" s="67" t="n">
        <v>200</v>
      </c>
      <c r="J9" s="93">
        <f>I9/H9</f>
        <v/>
      </c>
      <c r="K9" s="67" t="n">
        <v>200</v>
      </c>
      <c r="L9" s="67" t="n">
        <v>0</v>
      </c>
      <c r="M9" s="93">
        <f>L9/K9</f>
        <v/>
      </c>
      <c r="N9" s="67" t="n">
        <v>200</v>
      </c>
      <c r="O9" s="67" t="n"/>
      <c r="P9" s="93">
        <f>O9/N9</f>
        <v/>
      </c>
      <c r="Q9" s="67" t="n">
        <v>200</v>
      </c>
      <c r="R9" s="67" t="n"/>
      <c r="S9" s="93">
        <f>R9/Q9</f>
        <v/>
      </c>
      <c r="T9" s="67" t="n">
        <v>200</v>
      </c>
      <c r="U9" s="67" t="n"/>
      <c r="V9" s="93">
        <f>U9/T9</f>
        <v/>
      </c>
      <c r="W9" s="67">
        <f>E9+H9+K9+N9+Q9+T9</f>
        <v/>
      </c>
      <c r="X9" s="67">
        <f>F9+I9+L9+O9+R9+U9</f>
        <v/>
      </c>
      <c r="Y9" s="93">
        <f>X9/W9</f>
        <v/>
      </c>
      <c r="Z9" s="67" t="n">
        <v>200</v>
      </c>
      <c r="AA9" s="67" t="n"/>
      <c r="AB9" s="93">
        <f>AA9/Z9</f>
        <v/>
      </c>
      <c r="AC9" s="67" t="n">
        <v>200</v>
      </c>
      <c r="AD9" s="67" t="n"/>
      <c r="AE9" s="93">
        <f>AD9/AC9</f>
        <v/>
      </c>
      <c r="AF9" s="67" t="n">
        <v>200</v>
      </c>
      <c r="AG9" s="67" t="n"/>
      <c r="AH9" s="93">
        <f>AG9/AF9</f>
        <v/>
      </c>
      <c r="AI9" s="67" t="n">
        <v>200</v>
      </c>
      <c r="AJ9" s="67" t="n"/>
      <c r="AK9" s="93">
        <f>AJ9/AI9</f>
        <v/>
      </c>
      <c r="AL9" s="67" t="n">
        <v>200</v>
      </c>
      <c r="AM9" s="67" t="n"/>
      <c r="AN9" s="93">
        <f>AM9/AL9</f>
        <v/>
      </c>
      <c r="AO9" s="67" t="n">
        <v>200</v>
      </c>
      <c r="AP9" s="67" t="n"/>
      <c r="AQ9" s="93">
        <f>AP9/AO9</f>
        <v/>
      </c>
      <c r="AR9" s="67">
        <f>Z9+AC9+AF9+AI9+AL9+AO9</f>
        <v/>
      </c>
      <c r="AS9" s="67">
        <f>AA9+AD9+AG9+AJ9+AM9+AP9</f>
        <v/>
      </c>
      <c r="AT9" s="93">
        <f>AS9/AR9</f>
        <v/>
      </c>
      <c r="AU9" s="67">
        <f>W9+AR9</f>
        <v/>
      </c>
      <c r="AV9" s="67">
        <f>X9+AS9</f>
        <v/>
      </c>
      <c r="AW9" s="98">
        <f>AV9/AU9</f>
        <v/>
      </c>
      <c r="BA9" s="54" t="n"/>
    </row>
    <row r="10" outlineLevel="1" ht="80.25" customHeight="1" s="154">
      <c r="B10" s="198" t="inlineStr">
        <is>
          <t>アルバイト</t>
        </is>
      </c>
      <c r="C10" s="199" t="n"/>
      <c r="D10" s="200" t="n"/>
      <c r="E10" s="74" t="n"/>
      <c r="F10" s="67" t="n">
        <v>60</v>
      </c>
      <c r="G10" s="93">
        <f>F10/E10</f>
        <v/>
      </c>
      <c r="H10" s="71" t="n"/>
      <c r="I10" s="67" t="n">
        <v>0</v>
      </c>
      <c r="J10" s="93">
        <f>I10/H10</f>
        <v/>
      </c>
      <c r="K10" s="67" t="n"/>
      <c r="L10" s="67" t="n">
        <v>30</v>
      </c>
      <c r="M10" s="93">
        <f>L10/K10</f>
        <v/>
      </c>
      <c r="N10" s="67" t="n"/>
      <c r="O10" s="67" t="n"/>
      <c r="P10" s="93">
        <f>O10/N10</f>
        <v/>
      </c>
      <c r="Q10" s="67" t="n"/>
      <c r="R10" s="67" t="n"/>
      <c r="S10" s="93">
        <f>R10/Q10</f>
        <v/>
      </c>
      <c r="T10" s="67" t="n"/>
      <c r="U10" s="67" t="n"/>
      <c r="V10" s="93">
        <f>U10/T10</f>
        <v/>
      </c>
      <c r="W10" s="67">
        <f>E10+H10+K10+N10+Q10+T10</f>
        <v/>
      </c>
      <c r="X10" s="67">
        <f>F10+I10+L10+O10+R10+U10</f>
        <v/>
      </c>
      <c r="Y10" s="93">
        <f>X10/W10</f>
        <v/>
      </c>
      <c r="Z10" s="67" t="n"/>
      <c r="AA10" s="67" t="n"/>
      <c r="AB10" s="93">
        <f>AA10/Z10</f>
        <v/>
      </c>
      <c r="AC10" s="67" t="n"/>
      <c r="AD10" s="67" t="n"/>
      <c r="AE10" s="93">
        <f>AD10/AC10</f>
        <v/>
      </c>
      <c r="AF10" s="67" t="n"/>
      <c r="AG10" s="67" t="n"/>
      <c r="AH10" s="93">
        <f>AG10/AF10</f>
        <v/>
      </c>
      <c r="AI10" s="67" t="n"/>
      <c r="AJ10" s="67" t="n"/>
      <c r="AK10" s="93">
        <f>AJ10/AI10</f>
        <v/>
      </c>
      <c r="AL10" s="67" t="n"/>
      <c r="AM10" s="67" t="n"/>
      <c r="AN10" s="93">
        <f>AM10/AL10</f>
        <v/>
      </c>
      <c r="AO10" s="67" t="n"/>
      <c r="AP10" s="67" t="n"/>
      <c r="AQ10" s="93">
        <f>AP10/AO10</f>
        <v/>
      </c>
      <c r="AR10" s="67">
        <f>Z10+AC10+AF10+AI10+AL10+AO10</f>
        <v/>
      </c>
      <c r="AS10" s="67">
        <f>AA10+AD10+AG10+AJ10+AM10+AP10</f>
        <v/>
      </c>
      <c r="AT10" s="93">
        <f>AS10/AR10</f>
        <v/>
      </c>
      <c r="AU10" s="67">
        <f>W10+AR10</f>
        <v/>
      </c>
      <c r="AV10" s="67">
        <f>X10+AS10</f>
        <v/>
      </c>
      <c r="AW10" s="98">
        <f>AV10/AU10</f>
        <v/>
      </c>
      <c r="BA10" s="54" t="n"/>
    </row>
    <row r="11" outlineLevel="1" ht="80.25" customHeight="1" s="154">
      <c r="B11" s="198" t="inlineStr">
        <is>
          <t>支援業務</t>
        </is>
      </c>
      <c r="C11" s="199" t="n"/>
      <c r="D11" s="200" t="n"/>
      <c r="E11" s="75" t="n"/>
      <c r="F11" s="67" t="n">
        <v>70</v>
      </c>
      <c r="G11" s="93">
        <f>F11/E11</f>
        <v/>
      </c>
      <c r="H11" s="72" t="n"/>
      <c r="I11" s="70" t="n">
        <v>65</v>
      </c>
      <c r="J11" s="93">
        <f>I11/H11</f>
        <v/>
      </c>
      <c r="K11" s="70" t="n"/>
      <c r="L11" s="70" t="n">
        <v>65</v>
      </c>
      <c r="M11" s="93">
        <f>L11/K11</f>
        <v/>
      </c>
      <c r="N11" s="70" t="n"/>
      <c r="O11" s="70" t="n"/>
      <c r="P11" s="93">
        <f>O11/N11</f>
        <v/>
      </c>
      <c r="Q11" s="70" t="n"/>
      <c r="R11" s="70" t="n"/>
      <c r="S11" s="93">
        <f>R11/Q11</f>
        <v/>
      </c>
      <c r="T11" s="70" t="n"/>
      <c r="U11" s="70" t="n"/>
      <c r="V11" s="93">
        <f>U11/T11</f>
        <v/>
      </c>
      <c r="W11" s="70" t="n"/>
      <c r="X11" s="70">
        <f>F11+I11+L11+O11+R11+U11</f>
        <v/>
      </c>
      <c r="Y11" s="93">
        <f>X11/W11</f>
        <v/>
      </c>
      <c r="Z11" s="70" t="n"/>
      <c r="AA11" s="70" t="n"/>
      <c r="AB11" s="93">
        <f>AA11/Z11</f>
        <v/>
      </c>
      <c r="AC11" s="70" t="n"/>
      <c r="AD11" s="70" t="n"/>
      <c r="AE11" s="93">
        <f>AD11/AC11</f>
        <v/>
      </c>
      <c r="AF11" s="70" t="n"/>
      <c r="AG11" s="70" t="n"/>
      <c r="AH11" s="93">
        <f>AG11/AF11</f>
        <v/>
      </c>
      <c r="AI11" s="70" t="n"/>
      <c r="AJ11" s="70" t="n"/>
      <c r="AK11" s="93">
        <f>AJ11/AI11</f>
        <v/>
      </c>
      <c r="AL11" s="70" t="n"/>
      <c r="AM11" s="70" t="n"/>
      <c r="AN11" s="93">
        <f>AM11/AL11</f>
        <v/>
      </c>
      <c r="AO11" s="70" t="n"/>
      <c r="AP11" s="70" t="n"/>
      <c r="AQ11" s="93">
        <f>AP11/AO11</f>
        <v/>
      </c>
      <c r="AR11" s="70" t="n"/>
      <c r="AS11" s="70">
        <f>AA11+AD11+AG11+AJ11+AM11+AP11</f>
        <v/>
      </c>
      <c r="AT11" s="93">
        <f>AS11/AR11</f>
        <v/>
      </c>
      <c r="AU11" s="70">
        <f>W11+AR11</f>
        <v/>
      </c>
      <c r="AV11" s="70">
        <f>X11+AS11</f>
        <v/>
      </c>
      <c r="AW11" s="98">
        <f>AV11/AU11</f>
        <v/>
      </c>
      <c r="BA11" s="54" t="n"/>
    </row>
    <row r="12" ht="80.25" customHeight="1" s="154">
      <c r="B12" s="221" t="inlineStr">
        <is>
          <t>小計</t>
        </is>
      </c>
      <c r="C12" s="206" t="n"/>
      <c r="D12" s="207" t="n"/>
      <c r="E12" s="81">
        <f>E8+E9+E10+E11</f>
        <v/>
      </c>
      <c r="F12" s="87">
        <f>F8+F9+F10+F11</f>
        <v/>
      </c>
      <c r="G12" s="88">
        <f>F12/E12</f>
        <v/>
      </c>
      <c r="H12" s="82">
        <f>H8+H9+H10+H11</f>
        <v/>
      </c>
      <c r="I12" s="83">
        <f>I8+I9+I10+I11</f>
        <v/>
      </c>
      <c r="J12" s="88">
        <f>I12/H12</f>
        <v/>
      </c>
      <c r="K12" s="83">
        <f>K8+K9+K10+K11</f>
        <v/>
      </c>
      <c r="L12" s="83">
        <f>L8+L9+L10+L11</f>
        <v/>
      </c>
      <c r="M12" s="88">
        <f>L12/K12</f>
        <v/>
      </c>
      <c r="N12" s="83">
        <f>N8+N9+N10+N11</f>
        <v/>
      </c>
      <c r="O12" s="83">
        <f>O8+O9+O10+O11</f>
        <v/>
      </c>
      <c r="P12" s="88">
        <f>O12/N12</f>
        <v/>
      </c>
      <c r="Q12" s="83">
        <f>Q8+Q9+Q10+Q11</f>
        <v/>
      </c>
      <c r="R12" s="83">
        <f>R8+R9+R10+R11</f>
        <v/>
      </c>
      <c r="S12" s="88">
        <f>R12/Q12</f>
        <v/>
      </c>
      <c r="T12" s="83">
        <f>T8+T9+T10</f>
        <v/>
      </c>
      <c r="U12" s="83">
        <f>U8+U9+U10</f>
        <v/>
      </c>
      <c r="V12" s="88">
        <f>U12/T12</f>
        <v/>
      </c>
      <c r="W12" s="83">
        <f>W8+W9+W10+W11</f>
        <v/>
      </c>
      <c r="X12" s="83">
        <f>X8+X9+X10+X11</f>
        <v/>
      </c>
      <c r="Y12" s="93">
        <f>X12/W12</f>
        <v/>
      </c>
      <c r="Z12" s="83">
        <f>Z8+Z9+Z10+Z11</f>
        <v/>
      </c>
      <c r="AA12" s="83">
        <f>AA8+AA9+AA10+AA11</f>
        <v/>
      </c>
      <c r="AB12" s="88">
        <f>AA12/Z12</f>
        <v/>
      </c>
      <c r="AC12" s="83">
        <f>AC8+AC9+AC10+AC11</f>
        <v/>
      </c>
      <c r="AD12" s="83">
        <f>AD8+AD9+AD10+AD11</f>
        <v/>
      </c>
      <c r="AE12" s="88">
        <f>AD12/AC12</f>
        <v/>
      </c>
      <c r="AF12" s="83">
        <f>AF8+AF9+AF10+AF11</f>
        <v/>
      </c>
      <c r="AG12" s="83">
        <f>AG8+AG9+AG10+AG11</f>
        <v/>
      </c>
      <c r="AH12" s="88">
        <f>AG12/AF12</f>
        <v/>
      </c>
      <c r="AI12" s="83">
        <f>AI8+AI9+AI10+AI11</f>
        <v/>
      </c>
      <c r="AJ12" s="83">
        <f>AJ8+AJ9+AJ10+AJ11</f>
        <v/>
      </c>
      <c r="AK12" s="88">
        <f>AJ12/AI12</f>
        <v/>
      </c>
      <c r="AL12" s="83">
        <f>AL8+AL9+AL10+AL11</f>
        <v/>
      </c>
      <c r="AM12" s="83">
        <f>AM8+AM9+AM10+AM11</f>
        <v/>
      </c>
      <c r="AN12" s="88">
        <f>AM12/AL12</f>
        <v/>
      </c>
      <c r="AO12" s="83">
        <f>AO8+AO9+AO10+AO11</f>
        <v/>
      </c>
      <c r="AP12" s="83">
        <f>AP8+AP9+AP10+AP11</f>
        <v/>
      </c>
      <c r="AQ12" s="88">
        <f>AP12/AO12</f>
        <v/>
      </c>
      <c r="AR12" s="83">
        <f>AR8+AR9+AR10+AR11</f>
        <v/>
      </c>
      <c r="AS12" s="83">
        <f>AS8+AS9+AS10+AS11</f>
        <v/>
      </c>
      <c r="AT12" s="93">
        <f>AS12/AR12</f>
        <v/>
      </c>
      <c r="AU12" s="83">
        <f>AU8+AU9+AU10+AU11</f>
        <v/>
      </c>
      <c r="AV12" s="83">
        <f>AV8+AV9+AV10+AV11</f>
        <v/>
      </c>
      <c r="AW12" s="98">
        <f>AV12/AU12</f>
        <v/>
      </c>
      <c r="AX12" s="191" t="n"/>
      <c r="BA12" s="54" t="n"/>
    </row>
    <row r="13" outlineLevel="1" ht="80.25" customHeight="1" s="154">
      <c r="B13" s="222" t="inlineStr">
        <is>
          <t>試験対策</t>
        </is>
      </c>
      <c r="C13" s="202" t="n"/>
      <c r="D13" s="203" t="n"/>
      <c r="E13" s="103" t="inlineStr">
        <is>
          <t>目標</t>
        </is>
      </c>
      <c r="F13" s="104" t="inlineStr">
        <is>
          <t>実績</t>
        </is>
      </c>
      <c r="G13" s="105" t="inlineStr">
        <is>
          <t>達成率</t>
        </is>
      </c>
      <c r="H13" s="106" t="inlineStr">
        <is>
          <t>目標</t>
        </is>
      </c>
      <c r="I13" s="107" t="inlineStr">
        <is>
          <t>実績</t>
        </is>
      </c>
      <c r="J13" s="105" t="inlineStr">
        <is>
          <t>達成率</t>
        </is>
      </c>
      <c r="K13" s="107" t="inlineStr">
        <is>
          <t>目標</t>
        </is>
      </c>
      <c r="L13" s="107" t="inlineStr">
        <is>
          <t>実績</t>
        </is>
      </c>
      <c r="M13" s="105" t="inlineStr">
        <is>
          <t>達成率</t>
        </is>
      </c>
      <c r="N13" s="107" t="inlineStr">
        <is>
          <t>目標</t>
        </is>
      </c>
      <c r="O13" s="107" t="inlineStr">
        <is>
          <t>実績</t>
        </is>
      </c>
      <c r="P13" s="105" t="inlineStr">
        <is>
          <t>達成率</t>
        </is>
      </c>
      <c r="Q13" s="107" t="inlineStr">
        <is>
          <t>目標</t>
        </is>
      </c>
      <c r="R13" s="107" t="inlineStr">
        <is>
          <t>実績</t>
        </is>
      </c>
      <c r="S13" s="105" t="inlineStr">
        <is>
          <t>達成率</t>
        </is>
      </c>
      <c r="T13" s="107" t="inlineStr">
        <is>
          <t>目標</t>
        </is>
      </c>
      <c r="U13" s="107" t="inlineStr">
        <is>
          <t>実績</t>
        </is>
      </c>
      <c r="V13" s="105" t="inlineStr">
        <is>
          <t>達成率</t>
        </is>
      </c>
      <c r="W13" s="107" t="inlineStr">
        <is>
          <t>目標</t>
        </is>
      </c>
      <c r="X13" s="107" t="inlineStr">
        <is>
          <t>実績</t>
        </is>
      </c>
      <c r="Y13" s="105" t="inlineStr">
        <is>
          <t>達成率</t>
        </is>
      </c>
      <c r="Z13" s="107" t="inlineStr">
        <is>
          <t>目標</t>
        </is>
      </c>
      <c r="AA13" s="107" t="inlineStr">
        <is>
          <t>実績</t>
        </is>
      </c>
      <c r="AB13" s="105" t="inlineStr">
        <is>
          <t>達成率</t>
        </is>
      </c>
      <c r="AC13" s="107" t="inlineStr">
        <is>
          <t>目標</t>
        </is>
      </c>
      <c r="AD13" s="107" t="inlineStr">
        <is>
          <t>実績</t>
        </is>
      </c>
      <c r="AE13" s="105" t="inlineStr">
        <is>
          <t>達成率</t>
        </is>
      </c>
      <c r="AF13" s="107" t="inlineStr">
        <is>
          <t>目標</t>
        </is>
      </c>
      <c r="AG13" s="107" t="inlineStr">
        <is>
          <t>実績</t>
        </is>
      </c>
      <c r="AH13" s="105" t="inlineStr">
        <is>
          <t>達成率</t>
        </is>
      </c>
      <c r="AI13" s="107" t="inlineStr">
        <is>
          <t>目標</t>
        </is>
      </c>
      <c r="AJ13" s="107" t="inlineStr">
        <is>
          <t>実績</t>
        </is>
      </c>
      <c r="AK13" s="105" t="inlineStr">
        <is>
          <t>達成率</t>
        </is>
      </c>
      <c r="AL13" s="107" t="inlineStr">
        <is>
          <t>目標</t>
        </is>
      </c>
      <c r="AM13" s="107" t="inlineStr">
        <is>
          <t>実績</t>
        </is>
      </c>
      <c r="AN13" s="105" t="inlineStr">
        <is>
          <t>達成率</t>
        </is>
      </c>
      <c r="AO13" s="107" t="inlineStr">
        <is>
          <t>目標</t>
        </is>
      </c>
      <c r="AP13" s="107" t="inlineStr">
        <is>
          <t>実績</t>
        </is>
      </c>
      <c r="AQ13" s="105" t="inlineStr">
        <is>
          <t>達成率</t>
        </is>
      </c>
      <c r="AR13" s="107" t="inlineStr">
        <is>
          <t>目標</t>
        </is>
      </c>
      <c r="AS13" s="107" t="inlineStr">
        <is>
          <t>実績</t>
        </is>
      </c>
      <c r="AT13" s="105" t="inlineStr">
        <is>
          <t>達成率</t>
        </is>
      </c>
      <c r="AU13" s="107" t="inlineStr">
        <is>
          <t>目標</t>
        </is>
      </c>
      <c r="AV13" s="107" t="inlineStr">
        <is>
          <t>実績</t>
        </is>
      </c>
      <c r="AW13" s="105" t="inlineStr">
        <is>
          <t>達成率</t>
        </is>
      </c>
      <c r="BA13" s="54" t="n"/>
    </row>
    <row r="14" ht="80.25" customHeight="1" s="154">
      <c r="B14" s="198" t="inlineStr">
        <is>
          <t>ビルクリーン</t>
        </is>
      </c>
      <c r="C14" s="199" t="n"/>
      <c r="D14" s="200" t="n"/>
      <c r="E14" s="74" t="n">
        <v>0</v>
      </c>
      <c r="F14" s="67" t="n">
        <v>90</v>
      </c>
      <c r="G14" s="93">
        <f>F14/E14</f>
        <v/>
      </c>
      <c r="H14" s="71" t="n">
        <v>400</v>
      </c>
      <c r="I14" s="67" t="n">
        <v>80</v>
      </c>
      <c r="J14" s="93">
        <f>I14/H14</f>
        <v/>
      </c>
      <c r="K14" s="67" t="n">
        <v>0</v>
      </c>
      <c r="L14" s="67" t="n"/>
      <c r="M14" s="93">
        <f>L14/K14</f>
        <v/>
      </c>
      <c r="N14" s="67" t="n">
        <v>400</v>
      </c>
      <c r="O14" s="67" t="n"/>
      <c r="P14" s="93">
        <f>O14/N14</f>
        <v/>
      </c>
      <c r="Q14" s="67" t="n">
        <v>0</v>
      </c>
      <c r="R14" s="67" t="n"/>
      <c r="S14" s="93">
        <f>R14/Q14</f>
        <v/>
      </c>
      <c r="T14" s="67" t="n">
        <v>400</v>
      </c>
      <c r="U14" s="67" t="n"/>
      <c r="V14" s="93">
        <f>U14/T14</f>
        <v/>
      </c>
      <c r="W14" s="67">
        <f>E14+H14+K14+N14+Q14+T14</f>
        <v/>
      </c>
      <c r="X14" s="67">
        <f>F14+I14+L14+O14+R14+U14</f>
        <v/>
      </c>
      <c r="Y14" s="93">
        <f>X14/W14</f>
        <v/>
      </c>
      <c r="Z14" s="67" t="n">
        <v>0</v>
      </c>
      <c r="AA14" s="67" t="n"/>
      <c r="AB14" s="93">
        <f>AA14/Z14</f>
        <v/>
      </c>
      <c r="AC14" s="67" t="n">
        <v>400</v>
      </c>
      <c r="AD14" s="67" t="n"/>
      <c r="AE14" s="93">
        <f>AD14/AC14</f>
        <v/>
      </c>
      <c r="AF14" s="67" t="n">
        <v>0</v>
      </c>
      <c r="AG14" s="67" t="n"/>
      <c r="AH14" s="93">
        <f>AG14/AF14</f>
        <v/>
      </c>
      <c r="AI14" s="67" t="n">
        <v>400</v>
      </c>
      <c r="AJ14" s="67" t="n"/>
      <c r="AK14" s="93">
        <f>AJ14/AI14</f>
        <v/>
      </c>
      <c r="AL14" s="67" t="n">
        <v>0</v>
      </c>
      <c r="AM14" s="67" t="n"/>
      <c r="AN14" s="93">
        <f>AM14/AL14</f>
        <v/>
      </c>
      <c r="AO14" s="67" t="n">
        <v>400</v>
      </c>
      <c r="AP14" s="67" t="n"/>
      <c r="AQ14" s="93">
        <f>AP14/AO14</f>
        <v/>
      </c>
      <c r="AR14" s="67">
        <f>Z14+AC14+AF14+AI14+AL14+AO14</f>
        <v/>
      </c>
      <c r="AS14" s="67">
        <f>AA14+AD14+AG14+AJ14+AM14+AP14</f>
        <v/>
      </c>
      <c r="AT14" s="93">
        <f>AS14/AR14</f>
        <v/>
      </c>
      <c r="AU14" s="67">
        <f>W14+AR14</f>
        <v/>
      </c>
      <c r="AV14" s="67">
        <f>X14+AS14</f>
        <v/>
      </c>
      <c r="AW14" s="98">
        <f>AV14/AU14</f>
        <v/>
      </c>
      <c r="AX14" s="191" t="n"/>
      <c r="BA14" s="54" t="n"/>
    </row>
    <row r="15" ht="80.25" customHeight="1" s="154">
      <c r="B15" s="198" t="inlineStr">
        <is>
          <t>外食</t>
        </is>
      </c>
      <c r="C15" s="199" t="n"/>
      <c r="D15" s="200" t="n"/>
      <c r="E15" s="74" t="n">
        <v>0</v>
      </c>
      <c r="F15" s="67" t="n"/>
      <c r="G15" s="93">
        <f>F15/E15</f>
        <v/>
      </c>
      <c r="H15" s="71" t="n">
        <v>0</v>
      </c>
      <c r="I15" s="67" t="n">
        <v>0</v>
      </c>
      <c r="J15" s="93">
        <f>I15/H15</f>
        <v/>
      </c>
      <c r="K15" s="67" t="n">
        <v>0</v>
      </c>
      <c r="L15" s="67" t="n"/>
      <c r="M15" s="93">
        <f>L15/K15</f>
        <v/>
      </c>
      <c r="N15" s="67" t="n">
        <v>0</v>
      </c>
      <c r="O15" s="67" t="n"/>
      <c r="P15" s="93">
        <f>O15/N15</f>
        <v/>
      </c>
      <c r="Q15" s="67" t="n">
        <v>0</v>
      </c>
      <c r="R15" s="67" t="n"/>
      <c r="S15" s="93">
        <f>R15/Q15</f>
        <v/>
      </c>
      <c r="T15" s="67" t="n">
        <v>0</v>
      </c>
      <c r="U15" s="67" t="n"/>
      <c r="V15" s="93">
        <f>U15/T15</f>
        <v/>
      </c>
      <c r="W15" s="67">
        <f>E15+H15+K15+N15+Q15+T15</f>
        <v/>
      </c>
      <c r="X15" s="67">
        <f>F15+I15+L15+O15+R15+U15</f>
        <v/>
      </c>
      <c r="Y15" s="93">
        <f>X15/W15</f>
        <v/>
      </c>
      <c r="Z15" s="67" t="n">
        <v>0</v>
      </c>
      <c r="AA15" s="67" t="n"/>
      <c r="AB15" s="93">
        <f>AA15/Z15</f>
        <v/>
      </c>
      <c r="AC15" s="67" t="n">
        <v>0</v>
      </c>
      <c r="AD15" s="67" t="n"/>
      <c r="AE15" s="93">
        <f>AD15/AC15</f>
        <v/>
      </c>
      <c r="AF15" s="67" t="n">
        <v>0</v>
      </c>
      <c r="AG15" s="67" t="n"/>
      <c r="AH15" s="93">
        <f>AG15/AF15</f>
        <v/>
      </c>
      <c r="AI15" s="67" t="n">
        <v>0</v>
      </c>
      <c r="AJ15" s="67" t="n"/>
      <c r="AK15" s="93">
        <f>AJ15/AI15</f>
        <v/>
      </c>
      <c r="AL15" s="67" t="n">
        <v>0</v>
      </c>
      <c r="AM15" s="67" t="n"/>
      <c r="AN15" s="93">
        <f>AM15/AL15</f>
        <v/>
      </c>
      <c r="AO15" s="67" t="n">
        <v>0</v>
      </c>
      <c r="AP15" s="67" t="n"/>
      <c r="AQ15" s="93">
        <f>AP15/AO15</f>
        <v/>
      </c>
      <c r="AR15" s="67">
        <f>Z15+AC15+AF15+AI15+AL15+AO15</f>
        <v/>
      </c>
      <c r="AS15" s="67">
        <f>AA15+AD15+AG15+AJ15+AM15+AP15</f>
        <v/>
      </c>
      <c r="AT15" s="93">
        <f>AS15/AR15</f>
        <v/>
      </c>
      <c r="AU15" s="67">
        <f>W15+AR15</f>
        <v/>
      </c>
      <c r="AV15" s="67">
        <f>X15+AS15</f>
        <v/>
      </c>
      <c r="AW15" s="98">
        <f>AV15/AU15</f>
        <v/>
      </c>
      <c r="BA15" s="54" t="n"/>
    </row>
    <row r="16" ht="80.25" customHeight="1" s="154">
      <c r="B16" s="198" t="inlineStr">
        <is>
          <t>宿泊</t>
        </is>
      </c>
      <c r="C16" s="199" t="n"/>
      <c r="D16" s="200" t="n"/>
      <c r="E16" s="74" t="n">
        <v>0</v>
      </c>
      <c r="F16" s="67" t="n"/>
      <c r="G16" s="93">
        <f>F16/E16</f>
        <v/>
      </c>
      <c r="H16" s="71" t="n">
        <v>0</v>
      </c>
      <c r="I16" s="67" t="n">
        <v>0</v>
      </c>
      <c r="J16" s="93">
        <f>I16/H16</f>
        <v/>
      </c>
      <c r="K16" s="67" t="n">
        <v>0</v>
      </c>
      <c r="L16" s="67" t="n"/>
      <c r="M16" s="93">
        <f>L16/K16</f>
        <v/>
      </c>
      <c r="N16" s="67" t="n">
        <v>0</v>
      </c>
      <c r="O16" s="67" t="n"/>
      <c r="P16" s="93">
        <f>O16/N16</f>
        <v/>
      </c>
      <c r="Q16" s="67" t="n">
        <v>0</v>
      </c>
      <c r="R16" s="67" t="n"/>
      <c r="S16" s="93">
        <f>R16/Q16</f>
        <v/>
      </c>
      <c r="T16" s="67" t="n">
        <v>0</v>
      </c>
      <c r="U16" s="67" t="n"/>
      <c r="V16" s="93">
        <f>U16/T16</f>
        <v/>
      </c>
      <c r="W16" s="67">
        <f>E16+H16+K16+N16+Q16+T16</f>
        <v/>
      </c>
      <c r="X16" s="67">
        <f>F16+I16+L16+O16+R16+U16</f>
        <v/>
      </c>
      <c r="Y16" s="93">
        <f>X16/W16</f>
        <v/>
      </c>
      <c r="Z16" s="67" t="n">
        <v>0</v>
      </c>
      <c r="AA16" s="67" t="n"/>
      <c r="AB16" s="93">
        <f>AA16/Z16</f>
        <v/>
      </c>
      <c r="AC16" s="67" t="n">
        <v>0</v>
      </c>
      <c r="AD16" s="67" t="n"/>
      <c r="AE16" s="93">
        <f>AD16/AC16</f>
        <v/>
      </c>
      <c r="AF16" s="67" t="n">
        <v>0</v>
      </c>
      <c r="AG16" s="67" t="n"/>
      <c r="AH16" s="93">
        <f>AG16/AF16</f>
        <v/>
      </c>
      <c r="AI16" s="67" t="n">
        <v>0</v>
      </c>
      <c r="AJ16" s="67" t="n"/>
      <c r="AK16" s="93">
        <f>AJ16/AI16</f>
        <v/>
      </c>
      <c r="AL16" s="67" t="n">
        <v>0</v>
      </c>
      <c r="AM16" s="67" t="n"/>
      <c r="AN16" s="93">
        <f>AM16/AL16</f>
        <v/>
      </c>
      <c r="AO16" s="67" t="n">
        <v>0</v>
      </c>
      <c r="AP16" s="67" t="n"/>
      <c r="AQ16" s="93">
        <f>AP16/AO16</f>
        <v/>
      </c>
      <c r="AR16" s="67">
        <f>Z16+AC16+AF16+AI16+AL16+AO16</f>
        <v/>
      </c>
      <c r="AS16" s="67">
        <f>AA16+AD16+AG16+AJ16+AM16+AP16</f>
        <v/>
      </c>
      <c r="AT16" s="93">
        <f>AS16/AR16</f>
        <v/>
      </c>
      <c r="AU16" s="67">
        <f>W16+AR16</f>
        <v/>
      </c>
      <c r="AV16" s="67">
        <f>X16+AS16</f>
        <v/>
      </c>
      <c r="AW16" s="98">
        <f>AV16/AU16</f>
        <v/>
      </c>
      <c r="BA16" s="54" t="n"/>
    </row>
    <row r="17" ht="80.25" customHeight="1" s="154">
      <c r="B17" s="224" t="inlineStr">
        <is>
          <t>小計</t>
        </is>
      </c>
      <c r="C17" s="206" t="n"/>
      <c r="D17" s="207" t="n"/>
      <c r="E17" s="81">
        <f>SUM(E14:E16)</f>
        <v/>
      </c>
      <c r="F17" s="83">
        <f>SUM(F14:F16)</f>
        <v/>
      </c>
      <c r="G17" s="93">
        <f>F17/E17</f>
        <v/>
      </c>
      <c r="H17" s="82">
        <f>SUM(H14:H16)</f>
        <v/>
      </c>
      <c r="I17" s="83">
        <f>SUM(I14:I16)</f>
        <v/>
      </c>
      <c r="J17" s="93">
        <f>I17/H17</f>
        <v/>
      </c>
      <c r="K17" s="83">
        <f>SUM(K14:K16)</f>
        <v/>
      </c>
      <c r="L17" s="83">
        <f>SUM(L14:L16)</f>
        <v/>
      </c>
      <c r="M17" s="93">
        <f>L17/K17</f>
        <v/>
      </c>
      <c r="N17" s="83">
        <f>SUM(N14:N16)</f>
        <v/>
      </c>
      <c r="O17" s="83">
        <f>SUM(O14:O16)</f>
        <v/>
      </c>
      <c r="P17" s="93">
        <f>O17/N17</f>
        <v/>
      </c>
      <c r="Q17" s="83">
        <f>SUM(Q14:Q16)</f>
        <v/>
      </c>
      <c r="R17" s="83">
        <f>SUM(R14:R16)</f>
        <v/>
      </c>
      <c r="S17" s="93">
        <f>R17/Q17</f>
        <v/>
      </c>
      <c r="T17" s="83">
        <f>SUM(T14:T16)</f>
        <v/>
      </c>
      <c r="U17" s="83">
        <f>SUM(U14:U16)</f>
        <v/>
      </c>
      <c r="V17" s="93">
        <f>U17/T17</f>
        <v/>
      </c>
      <c r="W17" s="83">
        <f>SUM(W14:W16)</f>
        <v/>
      </c>
      <c r="X17" s="83">
        <f>SUM(X14:X16)</f>
        <v/>
      </c>
      <c r="Y17" s="93">
        <f>X17/W17</f>
        <v/>
      </c>
      <c r="Z17" s="83">
        <f>SUM(Z14:Z16)</f>
        <v/>
      </c>
      <c r="AA17" s="83">
        <f>SUM(AA14:AA16)</f>
        <v/>
      </c>
      <c r="AB17" s="93">
        <f>AA17/Z17</f>
        <v/>
      </c>
      <c r="AC17" s="83">
        <f>SUM(AC14:AC16)</f>
        <v/>
      </c>
      <c r="AD17" s="83">
        <f>SUM(AD14:AD16)</f>
        <v/>
      </c>
      <c r="AE17" s="93">
        <f>AD17/AC17</f>
        <v/>
      </c>
      <c r="AF17" s="83">
        <f>SUM(AF14:AF16)</f>
        <v/>
      </c>
      <c r="AG17" s="83">
        <f>SUM(AG14:AG16)</f>
        <v/>
      </c>
      <c r="AH17" s="93">
        <f>AG17/AF17</f>
        <v/>
      </c>
      <c r="AI17" s="83">
        <f>SUM(AI14:AI16)</f>
        <v/>
      </c>
      <c r="AJ17" s="83">
        <f>SUM(AJ14:AJ16)</f>
        <v/>
      </c>
      <c r="AK17" s="93">
        <f>AJ17/AI17</f>
        <v/>
      </c>
      <c r="AL17" s="83">
        <f>SUM(AL14:AL16)</f>
        <v/>
      </c>
      <c r="AM17" s="83">
        <f>SUM(AM14:AM16)</f>
        <v/>
      </c>
      <c r="AN17" s="93">
        <f>AM17/AL17</f>
        <v/>
      </c>
      <c r="AO17" s="83">
        <f>SUM(AO14:AO16)</f>
        <v/>
      </c>
      <c r="AP17" s="83">
        <f>SUM(AP14:AP16)</f>
        <v/>
      </c>
      <c r="AQ17" s="93">
        <f>AP17/AO17</f>
        <v/>
      </c>
      <c r="AR17" s="83">
        <f>SUM(AR14:AR16)</f>
        <v/>
      </c>
      <c r="AS17" s="83">
        <f>SUM(AS14:AS16)</f>
        <v/>
      </c>
      <c r="AT17" s="93">
        <f>AS17/AR17</f>
        <v/>
      </c>
      <c r="AU17" s="83">
        <f>SUM(AU14:AU16)</f>
        <v/>
      </c>
      <c r="AV17" s="83">
        <f>SUM(AV14:AV16)</f>
        <v/>
      </c>
      <c r="AW17" s="98">
        <f>AV17/AU17</f>
        <v/>
      </c>
      <c r="AX17" s="191" t="n"/>
      <c r="AY17" s="191" t="n"/>
      <c r="BA17" s="54" t="n"/>
    </row>
    <row r="18" ht="80.25" customHeight="1" s="154">
      <c r="B18" s="213" t="inlineStr">
        <is>
          <t>内部紹介</t>
        </is>
      </c>
      <c r="C18" s="202" t="n"/>
      <c r="D18" s="203" t="n"/>
      <c r="E18" s="109" t="inlineStr">
        <is>
          <t>目標</t>
        </is>
      </c>
      <c r="F18" s="110" t="inlineStr">
        <is>
          <t>実績</t>
        </is>
      </c>
      <c r="G18" s="111" t="inlineStr">
        <is>
          <t>達成率</t>
        </is>
      </c>
      <c r="H18" s="112" t="inlineStr">
        <is>
          <t>目標</t>
        </is>
      </c>
      <c r="I18" s="113" t="inlineStr">
        <is>
          <t>実績</t>
        </is>
      </c>
      <c r="J18" s="111" t="inlineStr">
        <is>
          <t>達成率</t>
        </is>
      </c>
      <c r="K18" s="113" t="inlineStr">
        <is>
          <t>目標</t>
        </is>
      </c>
      <c r="L18" s="113" t="inlineStr">
        <is>
          <t>実績</t>
        </is>
      </c>
      <c r="M18" s="111" t="inlineStr">
        <is>
          <t>達成率</t>
        </is>
      </c>
      <c r="N18" s="113" t="inlineStr">
        <is>
          <t>目標</t>
        </is>
      </c>
      <c r="O18" s="113" t="inlineStr">
        <is>
          <t>実績</t>
        </is>
      </c>
      <c r="P18" s="111" t="inlineStr">
        <is>
          <t>達成率</t>
        </is>
      </c>
      <c r="Q18" s="113" t="inlineStr">
        <is>
          <t>目標</t>
        </is>
      </c>
      <c r="R18" s="113" t="inlineStr">
        <is>
          <t>実績</t>
        </is>
      </c>
      <c r="S18" s="111" t="inlineStr">
        <is>
          <t>達成率</t>
        </is>
      </c>
      <c r="T18" s="113" t="inlineStr">
        <is>
          <t>目標</t>
        </is>
      </c>
      <c r="U18" s="113" t="inlineStr">
        <is>
          <t>実績</t>
        </is>
      </c>
      <c r="V18" s="111" t="inlineStr">
        <is>
          <t>達成率</t>
        </is>
      </c>
      <c r="W18" s="113" t="inlineStr">
        <is>
          <t>目標</t>
        </is>
      </c>
      <c r="X18" s="113" t="inlineStr">
        <is>
          <t>実績</t>
        </is>
      </c>
      <c r="Y18" s="111" t="inlineStr">
        <is>
          <t>達成率</t>
        </is>
      </c>
      <c r="Z18" s="113" t="inlineStr">
        <is>
          <t>目標</t>
        </is>
      </c>
      <c r="AA18" s="113" t="inlineStr">
        <is>
          <t>実績</t>
        </is>
      </c>
      <c r="AB18" s="111" t="inlineStr">
        <is>
          <t>達成率</t>
        </is>
      </c>
      <c r="AC18" s="113" t="inlineStr">
        <is>
          <t>目標</t>
        </is>
      </c>
      <c r="AD18" s="113" t="inlineStr">
        <is>
          <t>実績</t>
        </is>
      </c>
      <c r="AE18" s="111" t="inlineStr">
        <is>
          <t>達成率</t>
        </is>
      </c>
      <c r="AF18" s="113" t="inlineStr">
        <is>
          <t>目標</t>
        </is>
      </c>
      <c r="AG18" s="113" t="inlineStr">
        <is>
          <t>実績</t>
        </is>
      </c>
      <c r="AH18" s="111" t="inlineStr">
        <is>
          <t>達成率</t>
        </is>
      </c>
      <c r="AI18" s="113" t="inlineStr">
        <is>
          <t>目標</t>
        </is>
      </c>
      <c r="AJ18" s="113" t="inlineStr">
        <is>
          <t>実績</t>
        </is>
      </c>
      <c r="AK18" s="111" t="inlineStr">
        <is>
          <t>達成率</t>
        </is>
      </c>
      <c r="AL18" s="113" t="inlineStr">
        <is>
          <t>目標</t>
        </is>
      </c>
      <c r="AM18" s="113" t="inlineStr">
        <is>
          <t>実績</t>
        </is>
      </c>
      <c r="AN18" s="111" t="inlineStr">
        <is>
          <t>達成率</t>
        </is>
      </c>
      <c r="AO18" s="113" t="inlineStr">
        <is>
          <t>目標</t>
        </is>
      </c>
      <c r="AP18" s="113" t="inlineStr">
        <is>
          <t>実績</t>
        </is>
      </c>
      <c r="AQ18" s="111" t="inlineStr">
        <is>
          <t>達成率</t>
        </is>
      </c>
      <c r="AR18" s="113" t="inlineStr">
        <is>
          <t>目標</t>
        </is>
      </c>
      <c r="AS18" s="113" t="inlineStr">
        <is>
          <t>実績</t>
        </is>
      </c>
      <c r="AT18" s="111" t="inlineStr">
        <is>
          <t>達成率</t>
        </is>
      </c>
      <c r="AU18" s="113" t="inlineStr">
        <is>
          <t>目標</t>
        </is>
      </c>
      <c r="AV18" s="113" t="inlineStr">
        <is>
          <t>実績</t>
        </is>
      </c>
      <c r="AW18" s="111" t="inlineStr">
        <is>
          <t>達成率</t>
        </is>
      </c>
      <c r="AX18" s="191" t="n"/>
      <c r="AY18" s="191" t="n"/>
      <c r="BA18" s="54" t="n"/>
    </row>
    <row r="19" ht="80.25" customHeight="1" s="154">
      <c r="B19" s="214" t="inlineStr">
        <is>
          <t>技人国　　　　　　　　　　　　　　　　　　　　　N１／３０％　N2／２０％　N3／１５％</t>
        </is>
      </c>
      <c r="C19" s="199" t="n"/>
      <c r="D19" s="200" t="n"/>
      <c r="E19" s="74" t="n"/>
      <c r="F19" s="67" t="n"/>
      <c r="G19" s="93">
        <f>F19/E19</f>
        <v/>
      </c>
      <c r="H19" s="71" t="n"/>
      <c r="I19" s="67" t="n">
        <v>400</v>
      </c>
      <c r="J19" s="93">
        <f>I19/H19</f>
        <v/>
      </c>
      <c r="K19" s="67" t="n"/>
      <c r="L19" s="67" t="n">
        <v>800</v>
      </c>
      <c r="M19" s="93">
        <f>L19/K19</f>
        <v/>
      </c>
      <c r="N19" s="67" t="n"/>
      <c r="O19" s="67" t="n"/>
      <c r="P19" s="93">
        <f>O19/N19</f>
        <v/>
      </c>
      <c r="Q19" s="67" t="n"/>
      <c r="R19" s="67" t="n"/>
      <c r="S19" s="93">
        <f>R19/Q19</f>
        <v/>
      </c>
      <c r="T19" s="67" t="n"/>
      <c r="U19" s="67" t="n"/>
      <c r="V19" s="93">
        <f>U19/T19</f>
        <v/>
      </c>
      <c r="W19" s="67">
        <f>E19+H19+K19+N19+Q19+T19</f>
        <v/>
      </c>
      <c r="X19" s="67">
        <f>F19+I19+L19+O19+R19+U19</f>
        <v/>
      </c>
      <c r="Y19" s="93">
        <f>X19/W19</f>
        <v/>
      </c>
      <c r="Z19" s="67" t="n"/>
      <c r="AA19" s="67" t="n"/>
      <c r="AB19" s="93">
        <f>AA19/Z19</f>
        <v/>
      </c>
      <c r="AC19" s="67" t="n"/>
      <c r="AD19" s="67" t="n"/>
      <c r="AE19" s="93">
        <f>AD19/AC19</f>
        <v/>
      </c>
      <c r="AF19" s="67" t="n"/>
      <c r="AG19" s="67" t="n"/>
      <c r="AH19" s="93">
        <f>AG19/AF19</f>
        <v/>
      </c>
      <c r="AI19" s="67" t="n"/>
      <c r="AJ19" s="67" t="n"/>
      <c r="AK19" s="93">
        <f>AJ19/AI19</f>
        <v/>
      </c>
      <c r="AL19" s="67" t="n"/>
      <c r="AM19" s="67" t="n"/>
      <c r="AN19" s="93">
        <f>AM19/AL19</f>
        <v/>
      </c>
      <c r="AO19" s="67" t="n"/>
      <c r="AP19" s="67" t="n"/>
      <c r="AQ19" s="93">
        <f>AP19/AO19</f>
        <v/>
      </c>
      <c r="AR19" s="67">
        <f>Z19+AC19+AF19+AI19+AL19+AO19</f>
        <v/>
      </c>
      <c r="AS19" s="67">
        <f>AA19+AD19+AG19+AJ19+AM19+AP19</f>
        <v/>
      </c>
      <c r="AT19" s="93">
        <f>AS19/AR19</f>
        <v/>
      </c>
      <c r="AU19" s="67">
        <f>W19+AR19</f>
        <v/>
      </c>
      <c r="AV19" s="67">
        <f>X19+AS19</f>
        <v/>
      </c>
      <c r="AW19" s="98">
        <f>AV19/AU19</f>
        <v/>
      </c>
      <c r="AX19" s="191" t="n"/>
      <c r="AY19" s="191" t="n"/>
      <c r="BA19" s="54" t="n"/>
    </row>
    <row r="20" ht="80.25" customHeight="1" s="154">
      <c r="B20" s="198" t="inlineStr">
        <is>
          <t>特定技能（一律２0万）✕　〇人</t>
        </is>
      </c>
      <c r="C20" s="199" t="n"/>
      <c r="D20" s="200" t="n"/>
      <c r="E20" s="74" t="n">
        <v>3000</v>
      </c>
      <c r="F20" s="67" t="n">
        <v>800</v>
      </c>
      <c r="G20" s="93">
        <f>F20/E20</f>
        <v/>
      </c>
      <c r="H20" s="71" t="n">
        <v>3000</v>
      </c>
      <c r="I20" s="67" t="n">
        <v>2400</v>
      </c>
      <c r="J20" s="93">
        <f>I20/H20</f>
        <v/>
      </c>
      <c r="K20" s="67" t="n">
        <v>3000</v>
      </c>
      <c r="L20" s="67" t="n">
        <v>2400</v>
      </c>
      <c r="M20" s="93">
        <f>L20/K20</f>
        <v/>
      </c>
      <c r="N20" s="67" t="n">
        <v>3000</v>
      </c>
      <c r="O20" s="69" t="n"/>
      <c r="P20" s="93">
        <f>O20/N20</f>
        <v/>
      </c>
      <c r="Q20" s="67" t="n">
        <v>3000</v>
      </c>
      <c r="R20" s="67" t="n"/>
      <c r="S20" s="93">
        <f>R20/Q20</f>
        <v/>
      </c>
      <c r="T20" s="67" t="n">
        <v>3000</v>
      </c>
      <c r="U20" s="67" t="n"/>
      <c r="V20" s="93">
        <f>U20/T20</f>
        <v/>
      </c>
      <c r="W20" s="67">
        <f>E20+H20+K20+N20+Q20+T20</f>
        <v/>
      </c>
      <c r="X20" s="67">
        <f>F20+I20+L20+O20+R20+U20</f>
        <v/>
      </c>
      <c r="Y20" s="93">
        <f>X20/W20</f>
        <v/>
      </c>
      <c r="Z20" s="67" t="n">
        <v>3000</v>
      </c>
      <c r="AA20" s="67" t="n"/>
      <c r="AB20" s="93">
        <f>AA20/Z20</f>
        <v/>
      </c>
      <c r="AC20" s="67" t="n">
        <v>3000</v>
      </c>
      <c r="AD20" s="67" t="n"/>
      <c r="AE20" s="93">
        <f>AD20/AC20</f>
        <v/>
      </c>
      <c r="AF20" s="67" t="n">
        <v>3000</v>
      </c>
      <c r="AG20" s="67" t="n"/>
      <c r="AH20" s="93">
        <f>AG20/AF20</f>
        <v/>
      </c>
      <c r="AI20" s="67" t="n">
        <v>3000</v>
      </c>
      <c r="AJ20" s="67" t="n"/>
      <c r="AK20" s="93">
        <f>AJ20/AI20</f>
        <v/>
      </c>
      <c r="AL20" s="67" t="n">
        <v>3000</v>
      </c>
      <c r="AM20" s="67" t="n"/>
      <c r="AN20" s="93">
        <f>AM20/AL20</f>
        <v/>
      </c>
      <c r="AO20" s="67" t="n">
        <v>3000</v>
      </c>
      <c r="AP20" s="67" t="n"/>
      <c r="AQ20" s="93">
        <f>AP20/AO20</f>
        <v/>
      </c>
      <c r="AR20" s="67">
        <f>Z20+AC20+AF20+AI20+AL20+AO20</f>
        <v/>
      </c>
      <c r="AS20" s="67">
        <f>AA20+AD20+AG20+AJ20+AM20+AP20</f>
        <v/>
      </c>
      <c r="AT20" s="93">
        <f>AS20/AR20</f>
        <v/>
      </c>
      <c r="AU20" s="67">
        <f>W20+AR20</f>
        <v/>
      </c>
      <c r="AV20" s="67">
        <f>X20+AS20</f>
        <v/>
      </c>
      <c r="AW20" s="98">
        <f>AV20/AU20</f>
        <v/>
      </c>
      <c r="AX20" s="191" t="n"/>
      <c r="AY20" s="191" t="n"/>
      <c r="BA20" s="54" t="n"/>
    </row>
    <row r="21" ht="80.25" customHeight="1" s="154">
      <c r="B21" s="198" t="inlineStr">
        <is>
          <t>アルバイト(3万円／人）</t>
        </is>
      </c>
      <c r="C21" s="199" t="n"/>
      <c r="D21" s="200" t="n"/>
      <c r="E21" s="74" t="n"/>
      <c r="F21" s="67" t="n">
        <v>720</v>
      </c>
      <c r="G21" s="93">
        <f>F21/E21</f>
        <v/>
      </c>
      <c r="H21" s="71" t="n"/>
      <c r="I21" s="67" t="n">
        <v>390</v>
      </c>
      <c r="J21" s="93">
        <f>I21/H21</f>
        <v/>
      </c>
      <c r="K21" s="67" t="n"/>
      <c r="L21" s="67" t="n">
        <v>450</v>
      </c>
      <c r="M21" s="93">
        <f>L21/K21</f>
        <v/>
      </c>
      <c r="N21" s="67" t="n"/>
      <c r="O21" s="67" t="n"/>
      <c r="P21" s="93">
        <f>O21/N21</f>
        <v/>
      </c>
      <c r="Q21" s="67" t="n"/>
      <c r="R21" s="67" t="n"/>
      <c r="S21" s="93">
        <f>R21/Q21</f>
        <v/>
      </c>
      <c r="T21" s="67" t="n"/>
      <c r="U21" s="67" t="n"/>
      <c r="V21" s="93">
        <f>U21/T21</f>
        <v/>
      </c>
      <c r="W21" s="67">
        <f>E21+H21+K21+N21+Q21+T21</f>
        <v/>
      </c>
      <c r="X21" s="67">
        <f>F21+I21+L21+O21+R21+U21</f>
        <v/>
      </c>
      <c r="Y21" s="93">
        <f>X21/W21</f>
        <v/>
      </c>
      <c r="Z21" s="67" t="n"/>
      <c r="AA21" s="67" t="n"/>
      <c r="AB21" s="93">
        <f>AA21/Z21</f>
        <v/>
      </c>
      <c r="AC21" s="67" t="n"/>
      <c r="AD21" s="67" t="n"/>
      <c r="AE21" s="93">
        <f>AD21/AC21</f>
        <v/>
      </c>
      <c r="AF21" s="67" t="n"/>
      <c r="AG21" s="67" t="n"/>
      <c r="AH21" s="93">
        <f>AG21/AF21</f>
        <v/>
      </c>
      <c r="AI21" s="67" t="n"/>
      <c r="AJ21" s="67" t="n"/>
      <c r="AK21" s="93">
        <f>AJ21/AI21</f>
        <v/>
      </c>
      <c r="AL21" s="67" t="n"/>
      <c r="AM21" s="67" t="n"/>
      <c r="AN21" s="93">
        <f>AM21/AL21</f>
        <v/>
      </c>
      <c r="AO21" s="67" t="n"/>
      <c r="AP21" s="67" t="n"/>
      <c r="AQ21" s="93">
        <f>AP21/AO21</f>
        <v/>
      </c>
      <c r="AR21" s="67">
        <f>Z21+AC21+AF21+AI21+AL21+AO21</f>
        <v/>
      </c>
      <c r="AS21" s="67">
        <f>AA21+AD21+AG21+AJ21+AM21+AP21</f>
        <v/>
      </c>
      <c r="AT21" s="93">
        <f>AS21/AR21</f>
        <v/>
      </c>
      <c r="AU21" s="67">
        <f>W21+AR21</f>
        <v/>
      </c>
      <c r="AV21" s="67">
        <f>X21+AS21</f>
        <v/>
      </c>
      <c r="AW21" s="98">
        <f>AV21/AU21</f>
        <v/>
      </c>
      <c r="AX21" s="191" t="n"/>
      <c r="AY21" s="191" t="n"/>
      <c r="BA21" s="54" t="n"/>
    </row>
    <row r="22" ht="80.25" customHeight="1" s="154">
      <c r="B22" s="215" t="inlineStr">
        <is>
          <t>支援人数(1万円／人）</t>
        </is>
      </c>
      <c r="C22" s="216" t="n"/>
      <c r="D22" s="217" t="n"/>
      <c r="E22" s="74" t="n">
        <v>1500</v>
      </c>
      <c r="F22" s="67" t="n">
        <v>1550</v>
      </c>
      <c r="G22" s="93">
        <f>F22/E22</f>
        <v/>
      </c>
      <c r="H22" s="71" t="n">
        <v>1500</v>
      </c>
      <c r="I22" s="67" t="n">
        <v>1630</v>
      </c>
      <c r="J22" s="93">
        <f>I22/H22</f>
        <v/>
      </c>
      <c r="K22" s="67" t="n">
        <v>1500</v>
      </c>
      <c r="L22" s="67" t="n">
        <v>1760</v>
      </c>
      <c r="M22" s="93">
        <f>L22/K22</f>
        <v/>
      </c>
      <c r="N22" s="67" t="n">
        <v>1500</v>
      </c>
      <c r="O22" s="67" t="n"/>
      <c r="P22" s="93">
        <f>O22/N22</f>
        <v/>
      </c>
      <c r="Q22" s="67" t="n">
        <v>1500</v>
      </c>
      <c r="R22" s="67" t="n"/>
      <c r="S22" s="93">
        <f>R22/Q22</f>
        <v/>
      </c>
      <c r="T22" s="67" t="n">
        <v>1500</v>
      </c>
      <c r="U22" s="67" t="n"/>
      <c r="V22" s="93">
        <f>U22/T22</f>
        <v/>
      </c>
      <c r="W22" s="67">
        <f>E22+H22+K22+N22+Q22+T22</f>
        <v/>
      </c>
      <c r="X22" s="67">
        <f>F22+I22+L22+O22+R22+U22</f>
        <v/>
      </c>
      <c r="Y22" s="93">
        <f>X22/W22</f>
        <v/>
      </c>
      <c r="Z22" s="67" t="n">
        <v>1500</v>
      </c>
      <c r="AA22" s="67" t="n"/>
      <c r="AB22" s="93">
        <f>AA22/Z22</f>
        <v/>
      </c>
      <c r="AC22" s="67" t="n">
        <v>1500</v>
      </c>
      <c r="AD22" s="67" t="n"/>
      <c r="AE22" s="93">
        <f>AD22/AC22</f>
        <v/>
      </c>
      <c r="AF22" s="67" t="n">
        <v>1500</v>
      </c>
      <c r="AG22" s="67" t="n"/>
      <c r="AH22" s="93">
        <f>AG22/AF22</f>
        <v/>
      </c>
      <c r="AI22" s="67" t="n">
        <v>1500</v>
      </c>
      <c r="AJ22" s="67" t="n"/>
      <c r="AK22" s="93">
        <f>AJ22/AI22</f>
        <v/>
      </c>
      <c r="AL22" s="67" t="n">
        <v>1500</v>
      </c>
      <c r="AM22" s="67" t="n"/>
      <c r="AN22" s="93">
        <f>AM22/AL22</f>
        <v/>
      </c>
      <c r="AO22" s="67" t="n">
        <v>1500</v>
      </c>
      <c r="AP22" s="67" t="n"/>
      <c r="AQ22" s="93">
        <f>AP22/AO22</f>
        <v/>
      </c>
      <c r="AR22" s="67">
        <f>Z22+AC22+AF22+AI22+AL22+AO22</f>
        <v/>
      </c>
      <c r="AS22" s="67">
        <f>AA22+AD22+AG22+AJ22+AM22+AP22</f>
        <v/>
      </c>
      <c r="AT22" s="93">
        <f>AS22/AR22</f>
        <v/>
      </c>
      <c r="AU22" s="67">
        <f>W22+AR22</f>
        <v/>
      </c>
      <c r="AV22" s="67">
        <f>X22+AS22</f>
        <v/>
      </c>
      <c r="AW22" s="98">
        <f>AV22/AU22</f>
        <v/>
      </c>
      <c r="AX22" s="191" t="n"/>
      <c r="AY22" s="191" t="n"/>
      <c r="BA22" s="54" t="n"/>
    </row>
    <row r="23" ht="104" customHeight="1" s="154">
      <c r="B23" s="223" t="inlineStr">
        <is>
          <t>小計</t>
        </is>
      </c>
      <c r="C23" s="187" t="n"/>
      <c r="D23" s="188" t="n"/>
      <c r="E23" s="99">
        <f>SUM(E19:E22)</f>
        <v/>
      </c>
      <c r="F23" s="91">
        <f>SUM(F19:F22)</f>
        <v/>
      </c>
      <c r="G23" s="88">
        <f>F23/E23</f>
        <v/>
      </c>
      <c r="H23" s="82">
        <f>SUM(H19:H22)</f>
        <v/>
      </c>
      <c r="I23" s="83">
        <f>SUM(I19:I22)</f>
        <v/>
      </c>
      <c r="J23" s="88">
        <f>I23/H23</f>
        <v/>
      </c>
      <c r="K23" s="83">
        <f>SUM(K19:K22)</f>
        <v/>
      </c>
      <c r="L23" s="83">
        <f>SUM(L19:L22)</f>
        <v/>
      </c>
      <c r="M23" s="88">
        <f>L23/K23</f>
        <v/>
      </c>
      <c r="N23" s="83">
        <f>SUM(N19:N22)</f>
        <v/>
      </c>
      <c r="O23" s="87">
        <f>SUM(O19:O22)</f>
        <v/>
      </c>
      <c r="P23" s="88">
        <f>O23/N23</f>
        <v/>
      </c>
      <c r="Q23" s="87">
        <f>SUM(Q19:Q22)</f>
        <v/>
      </c>
      <c r="R23" s="83">
        <f>SUM(R19:R22)</f>
        <v/>
      </c>
      <c r="S23" s="88">
        <f>R23/Q23</f>
        <v/>
      </c>
      <c r="T23" s="100">
        <f>SUM(T19:T22)</f>
        <v/>
      </c>
      <c r="U23" s="83">
        <f>SUM(U19:U22)</f>
        <v/>
      </c>
      <c r="V23" s="88">
        <f>U23/T23</f>
        <v/>
      </c>
      <c r="W23" s="82">
        <f>SUM(W19:W22)</f>
        <v/>
      </c>
      <c r="X23" s="83">
        <f>SUM(X19:X22)</f>
        <v/>
      </c>
      <c r="Y23" s="101">
        <f>X23/W23</f>
        <v/>
      </c>
      <c r="Z23" s="83">
        <f>SUM(Z19:Z22)</f>
        <v/>
      </c>
      <c r="AA23" s="83">
        <f>SUM(AA19:AA22)</f>
        <v/>
      </c>
      <c r="AB23" s="88">
        <f>AA23/Z23</f>
        <v/>
      </c>
      <c r="AC23" s="83">
        <f>SUM(AC19:AC22)</f>
        <v/>
      </c>
      <c r="AD23" s="83">
        <f>SUM(AD19:AD22)</f>
        <v/>
      </c>
      <c r="AE23" s="88">
        <f>AD23/AC23</f>
        <v/>
      </c>
      <c r="AF23" s="83">
        <f>SUM(AF19:AF22)</f>
        <v/>
      </c>
      <c r="AG23" s="83">
        <f>SUM(AG19:AG22)</f>
        <v/>
      </c>
      <c r="AH23" s="88">
        <f>AG23/AF23</f>
        <v/>
      </c>
      <c r="AI23" s="83">
        <f>SUM(AI19:AI22)</f>
        <v/>
      </c>
      <c r="AJ23" s="83">
        <f>SUM(AJ19:AJ22)</f>
        <v/>
      </c>
      <c r="AK23" s="88">
        <f>AJ23/AI23</f>
        <v/>
      </c>
      <c r="AL23" s="83">
        <f>SUM(AL19:AL22)</f>
        <v/>
      </c>
      <c r="AM23" s="83">
        <f>SUM(AM19:AM22)</f>
        <v/>
      </c>
      <c r="AN23" s="88">
        <f>AM23/AL23</f>
        <v/>
      </c>
      <c r="AO23" s="83">
        <f>SUM(AO19:AO22)</f>
        <v/>
      </c>
      <c r="AP23" s="83">
        <f>SUM(AP19:AP22)</f>
        <v/>
      </c>
      <c r="AQ23" s="88">
        <f>AP23/AO23</f>
        <v/>
      </c>
      <c r="AR23" s="83">
        <f>SUM(AR19:AR22)</f>
        <v/>
      </c>
      <c r="AS23" s="83">
        <f>SUM(AS19:AS22)</f>
        <v/>
      </c>
      <c r="AT23" s="101">
        <f>AS23/AR23</f>
        <v/>
      </c>
      <c r="AU23" s="83">
        <f>SUM(AU19:AU22)</f>
        <v/>
      </c>
      <c r="AV23" s="83">
        <f>SUM(AV19:AV22)</f>
        <v/>
      </c>
      <c r="AW23" s="102">
        <f>AV23/AU23</f>
        <v/>
      </c>
    </row>
    <row r="24" ht="141.75" customFormat="1" customHeight="1" s="181">
      <c r="A24" s="64" t="n"/>
      <c r="O24" s="80" t="n"/>
      <c r="AU24" s="84" t="n"/>
      <c r="AV24" s="84" t="n"/>
      <c r="AW24" s="84" t="n"/>
    </row>
    <row r="25" ht="80.25" customHeight="1" s="154">
      <c r="B25" s="210" t="n"/>
      <c r="C25" s="210" t="n"/>
      <c r="D25" s="210" t="n"/>
      <c r="E25" s="210" t="n"/>
      <c r="G25" s="210" t="n"/>
      <c r="H25" s="210" t="n"/>
      <c r="I25" s="210" t="n"/>
      <c r="J25" s="210" t="n"/>
      <c r="K25" s="210" t="n"/>
      <c r="L25" s="210" t="n"/>
      <c r="M25" s="210" t="n"/>
      <c r="N25" s="210" t="n"/>
      <c r="O25" s="210" t="n"/>
      <c r="P25" s="210" t="n"/>
      <c r="Q25" s="210" t="n"/>
      <c r="R25" s="210" t="n"/>
      <c r="S25" s="210" t="n"/>
      <c r="T25" s="210" t="n"/>
      <c r="U25" s="210" t="n"/>
      <c r="V25" s="210" t="n"/>
      <c r="W25" s="210" t="n"/>
      <c r="X25" s="210" t="n"/>
      <c r="Y25" s="210" t="n"/>
      <c r="Z25" s="210" t="n"/>
      <c r="AA25" s="210" t="n"/>
      <c r="AB25" s="210" t="n"/>
      <c r="AC25" s="210" t="n"/>
      <c r="AD25" s="210" t="n"/>
      <c r="AE25" s="210" t="n"/>
      <c r="AF25" s="210" t="n"/>
      <c r="AG25" s="210" t="n"/>
      <c r="AH25" s="210" t="n"/>
      <c r="AI25" s="210" t="n"/>
      <c r="AJ25" s="210" t="n"/>
      <c r="AK25" s="210" t="n"/>
      <c r="AL25" s="210" t="n"/>
      <c r="AM25" s="210" t="n"/>
      <c r="AN25" s="210" t="n"/>
      <c r="AO25" s="210" t="n"/>
      <c r="AP25" s="210" t="n"/>
      <c r="AQ25" s="210" t="n"/>
      <c r="AR25" s="210" t="n"/>
      <c r="AS25" s="210" t="n"/>
      <c r="AT25" s="210" t="n"/>
      <c r="AU25" s="210" t="n"/>
      <c r="AV25" s="210" t="n"/>
      <c r="AW25" s="210" t="n"/>
    </row>
    <row r="26" ht="20.25" customFormat="1" customHeight="1" s="192">
      <c r="A26" s="54" t="n"/>
      <c r="B26" s="55" t="n"/>
      <c r="E26" s="191" t="n"/>
      <c r="F26" s="191" t="n"/>
      <c r="G26" s="191" t="n"/>
      <c r="H26" s="191" t="n"/>
      <c r="I26" s="211" t="n"/>
      <c r="J26" s="191" t="n"/>
      <c r="K26" s="211" t="n"/>
      <c r="L26" s="191" t="n"/>
      <c r="M26" s="191" t="n"/>
      <c r="N26" s="191" t="n"/>
      <c r="O26" s="191" t="n"/>
      <c r="P26" s="191" t="n"/>
      <c r="Q26" s="191" t="n"/>
      <c r="R26" s="191" t="n"/>
      <c r="S26" s="191" t="n"/>
      <c r="T26" s="191" t="n"/>
      <c r="U26" s="191" t="n"/>
      <c r="V26" s="191" t="n"/>
      <c r="W26" s="191" t="n"/>
      <c r="X26" s="191" t="n"/>
      <c r="Y26" s="211" t="n"/>
      <c r="Z26" s="191" t="n"/>
      <c r="AA26" s="191" t="n"/>
      <c r="AB26" s="191" t="n"/>
      <c r="AC26" s="191" t="n"/>
      <c r="AD26" s="211" t="n"/>
      <c r="AE26" s="191" t="n"/>
      <c r="AF26" s="211" t="n"/>
      <c r="AG26" s="191" t="n"/>
      <c r="AH26" s="191" t="n"/>
      <c r="AI26" s="191" t="n"/>
      <c r="AJ26" s="191" t="n"/>
      <c r="AK26" s="191" t="n"/>
      <c r="AL26" s="191" t="n"/>
      <c r="AM26" s="191" t="n"/>
      <c r="AN26" s="191" t="n"/>
      <c r="AO26" s="191" t="n"/>
      <c r="AP26" s="191" t="n"/>
      <c r="AQ26" s="191" t="n"/>
      <c r="AR26" s="191" t="n"/>
      <c r="AS26" s="191" t="n"/>
      <c r="AT26" s="211" t="n"/>
      <c r="AU26" s="191" t="n"/>
      <c r="AV26" s="191" t="n"/>
      <c r="AW26" s="66" t="n"/>
      <c r="BB26" s="59" t="n"/>
      <c r="BC26" s="59" t="n"/>
      <c r="BD26" s="59" t="n"/>
      <c r="BE26" s="59" t="n"/>
      <c r="BF26" s="59" t="n"/>
      <c r="BG26" s="59" t="n"/>
    </row>
    <row r="27" ht="20.25" customFormat="1" customHeight="1" s="192">
      <c r="A27" s="54" t="n"/>
      <c r="B27" s="55" t="n"/>
      <c r="E27" s="191" t="n"/>
      <c r="F27" s="191" t="n"/>
      <c r="G27" s="191" t="n"/>
      <c r="H27" s="191" t="n"/>
      <c r="I27" s="211" t="n"/>
      <c r="J27" s="191" t="n"/>
      <c r="K27" s="211" t="n"/>
      <c r="L27" s="191" t="n"/>
      <c r="M27" s="191" t="n"/>
      <c r="N27" s="191" t="n"/>
      <c r="O27" s="191" t="n"/>
      <c r="P27" s="191" t="n"/>
      <c r="Q27" s="191" t="n"/>
      <c r="R27" s="191" t="n"/>
      <c r="S27" s="191" t="n"/>
      <c r="T27" s="191" t="n"/>
      <c r="U27" s="191" t="n"/>
      <c r="V27" s="191" t="n"/>
      <c r="W27" s="191" t="n"/>
      <c r="X27" s="191" t="n"/>
      <c r="Y27" s="211" t="n"/>
      <c r="Z27" s="191" t="n"/>
      <c r="AA27" s="191" t="n"/>
      <c r="AB27" s="191" t="n"/>
      <c r="AC27" s="191" t="n"/>
      <c r="AD27" s="211" t="n"/>
      <c r="AE27" s="191" t="n"/>
      <c r="AF27" s="211" t="n"/>
      <c r="AG27" s="191" t="n"/>
      <c r="AH27" s="191" t="n"/>
      <c r="AI27" s="191" t="n"/>
      <c r="AJ27" s="191" t="n"/>
      <c r="AK27" s="191" t="n"/>
      <c r="AL27" s="191" t="n"/>
      <c r="AM27" s="191" t="n"/>
      <c r="AN27" s="191" t="n"/>
      <c r="AO27" s="191" t="n"/>
      <c r="AP27" s="191" t="n"/>
      <c r="AQ27" s="191" t="n"/>
      <c r="AR27" s="191" t="n"/>
      <c r="AS27" s="191" t="n"/>
      <c r="AT27" s="211" t="n"/>
      <c r="AU27" s="191" t="n"/>
      <c r="AV27" s="191" t="n"/>
      <c r="AW27" s="66" t="n"/>
      <c r="BB27" s="59" t="n"/>
      <c r="BC27" s="59" t="n"/>
      <c r="BD27" s="59" t="n"/>
      <c r="BE27" s="59" t="n"/>
      <c r="BF27" s="59" t="n"/>
      <c r="BG27" s="59" t="n"/>
    </row>
    <row r="28" ht="20.25" customFormat="1" customHeight="1" s="192">
      <c r="A28" s="54" t="n"/>
      <c r="B28" s="55" t="n"/>
      <c r="E28" s="191" t="n"/>
      <c r="F28" s="191" t="n"/>
      <c r="G28" s="191" t="n"/>
      <c r="H28" s="191" t="n"/>
      <c r="I28" s="211" t="n"/>
      <c r="J28" s="191" t="n"/>
      <c r="K28" s="211" t="n"/>
      <c r="L28" s="211" t="n"/>
      <c r="M28" s="191" t="n"/>
      <c r="N28" s="211" t="n"/>
      <c r="O28" s="211" t="n"/>
      <c r="P28" s="191" t="n"/>
      <c r="Q28" s="211" t="n"/>
      <c r="R28" s="211" t="n"/>
      <c r="S28" s="191" t="n"/>
      <c r="T28" s="211" t="n"/>
      <c r="U28" s="211" t="n"/>
      <c r="V28" s="191" t="n"/>
      <c r="W28" s="211" t="n"/>
      <c r="X28" s="211" t="n"/>
      <c r="Y28" s="211" t="n"/>
      <c r="Z28" s="191" t="n"/>
      <c r="AA28" s="191" t="n"/>
      <c r="AB28" s="191" t="n"/>
      <c r="AC28" s="191" t="n"/>
      <c r="AD28" s="211" t="n"/>
      <c r="AE28" s="191" t="n"/>
      <c r="AF28" s="211" t="n"/>
      <c r="AG28" s="211" t="n"/>
      <c r="AH28" s="191" t="n"/>
      <c r="AI28" s="211" t="n"/>
      <c r="AJ28" s="211" t="n"/>
      <c r="AK28" s="191" t="n"/>
      <c r="AL28" s="211" t="n"/>
      <c r="AM28" s="211" t="n"/>
      <c r="AN28" s="191" t="n"/>
      <c r="AO28" s="211" t="n"/>
      <c r="AP28" s="211" t="n"/>
      <c r="AQ28" s="191" t="n"/>
      <c r="AR28" s="211" t="n"/>
      <c r="AS28" s="211" t="n"/>
      <c r="AT28" s="211" t="n"/>
      <c r="AU28" s="211" t="n"/>
      <c r="AV28" s="211" t="n"/>
      <c r="AW28" s="66" t="n"/>
      <c r="BB28" s="59" t="n"/>
      <c r="BC28" s="59" t="n"/>
      <c r="BD28" s="59" t="n"/>
      <c r="BE28" s="59" t="n"/>
      <c r="BF28" s="59" t="n"/>
      <c r="BG28" s="59" t="n"/>
    </row>
    <row r="29" ht="20.25" customFormat="1" customHeight="1" s="192">
      <c r="A29" s="54" t="n"/>
      <c r="B29" s="55" t="n"/>
      <c r="C29" s="56" t="n"/>
      <c r="D29" s="56" t="n"/>
      <c r="E29" s="211" t="n"/>
      <c r="F29" s="211" t="n"/>
      <c r="G29" s="211" t="n"/>
      <c r="H29" s="211" t="n"/>
      <c r="I29" s="211" t="n"/>
      <c r="J29" s="211" t="n"/>
      <c r="K29" s="211" t="n"/>
      <c r="L29" s="211" t="n"/>
      <c r="M29" s="211" t="n"/>
      <c r="N29" s="211" t="n"/>
      <c r="O29" s="211" t="n"/>
      <c r="P29" s="211" t="n"/>
      <c r="Q29" s="211" t="n"/>
      <c r="R29" s="211" t="n"/>
      <c r="S29" s="211" t="n"/>
      <c r="T29" s="211" t="n"/>
      <c r="U29" s="211" t="n"/>
      <c r="V29" s="211" t="n"/>
      <c r="W29" s="211" t="n"/>
      <c r="X29" s="211" t="n"/>
      <c r="Y29" s="211" t="n"/>
      <c r="Z29" s="211" t="n"/>
      <c r="AA29" s="211" t="n"/>
      <c r="AB29" s="211" t="n"/>
      <c r="AC29" s="211" t="n"/>
      <c r="AD29" s="211" t="n"/>
      <c r="AE29" s="211" t="n"/>
      <c r="AF29" s="211" t="n"/>
      <c r="AG29" s="211" t="n"/>
      <c r="AH29" s="211" t="n"/>
      <c r="AI29" s="211" t="n"/>
      <c r="AJ29" s="211" t="n"/>
      <c r="AK29" s="211" t="n"/>
      <c r="AL29" s="211" t="n"/>
      <c r="AM29" s="211" t="n"/>
      <c r="AN29" s="211" t="n"/>
      <c r="AO29" s="211" t="n"/>
      <c r="AP29" s="211" t="n"/>
      <c r="AQ29" s="211" t="n"/>
      <c r="AR29" s="211" t="n"/>
      <c r="AS29" s="211" t="n"/>
      <c r="AT29" s="211" t="n"/>
      <c r="AU29" s="211" t="n"/>
      <c r="AV29" s="211" t="n"/>
      <c r="AW29" s="66" t="n"/>
      <c r="BB29" s="59" t="n"/>
      <c r="BC29" s="59" t="n"/>
      <c r="BD29" s="59" t="n"/>
      <c r="BE29" s="59" t="n"/>
      <c r="BF29" s="59" t="n"/>
      <c r="BG29" s="59" t="n"/>
    </row>
    <row r="30" ht="20.25" customFormat="1" customHeight="1" s="192">
      <c r="A30" s="54" t="n"/>
      <c r="B30" s="55" t="n"/>
      <c r="C30" s="56" t="n"/>
      <c r="D30" s="56" t="n"/>
      <c r="E30" s="211" t="n"/>
      <c r="F30" s="211" t="n"/>
      <c r="G30" s="211" t="n"/>
      <c r="H30" s="211" t="n"/>
      <c r="I30" s="211" t="n"/>
      <c r="J30" s="211" t="n"/>
      <c r="K30" s="211" t="n"/>
      <c r="L30" s="191" t="n"/>
      <c r="M30" s="211" t="n"/>
      <c r="N30" s="211" t="n"/>
      <c r="O30" s="211" t="n"/>
      <c r="P30" s="211" t="n"/>
      <c r="Q30" s="211" t="n"/>
      <c r="R30" s="211" t="n"/>
      <c r="S30" s="211" t="n"/>
      <c r="T30" s="211" t="n"/>
      <c r="U30" s="211" t="n"/>
      <c r="V30" s="211" t="n"/>
      <c r="W30" s="211" t="n"/>
      <c r="X30" s="211" t="n"/>
      <c r="Y30" s="211" t="n"/>
      <c r="Z30" s="211" t="n"/>
      <c r="AA30" s="211" t="n"/>
      <c r="AB30" s="211" t="n"/>
      <c r="AC30" s="211" t="n"/>
      <c r="AD30" s="211" t="n"/>
      <c r="AE30" s="211" t="n"/>
      <c r="AF30" s="211" t="n"/>
      <c r="AG30" s="191" t="n"/>
      <c r="AH30" s="211" t="n"/>
      <c r="AI30" s="211" t="n"/>
      <c r="AJ30" s="211" t="n"/>
      <c r="AK30" s="211" t="n"/>
      <c r="AL30" s="211" t="n"/>
      <c r="AM30" s="211" t="n"/>
      <c r="AN30" s="211" t="n"/>
      <c r="AO30" s="211" t="n"/>
      <c r="AP30" s="211" t="n"/>
      <c r="AQ30" s="211" t="n"/>
      <c r="AR30" s="211" t="n"/>
      <c r="AS30" s="211" t="n"/>
      <c r="AT30" s="211" t="n"/>
      <c r="AU30" s="211" t="n"/>
      <c r="AV30" s="211" t="n"/>
      <c r="AW30" s="66" t="n"/>
      <c r="BB30" s="59" t="n"/>
      <c r="BC30" s="59" t="n"/>
      <c r="BD30" s="59" t="n"/>
      <c r="BE30" s="59" t="n"/>
      <c r="BF30" s="59" t="n"/>
      <c r="BG30" s="59" t="n"/>
    </row>
    <row r="31" ht="20.25" customFormat="1" customHeight="1" s="192">
      <c r="A31" s="54" t="n"/>
      <c r="B31" s="55" t="n"/>
      <c r="C31" s="56" t="n"/>
      <c r="D31" s="56" t="n"/>
      <c r="E31" s="211" t="n"/>
      <c r="F31" s="211" t="n"/>
      <c r="G31" s="211" t="n"/>
      <c r="H31" s="211" t="n"/>
      <c r="I31" s="211" t="n"/>
      <c r="J31" s="211" t="n"/>
      <c r="K31" s="211" t="n"/>
      <c r="L31" s="211" t="n"/>
      <c r="M31" s="211" t="n"/>
      <c r="N31" s="211" t="n"/>
      <c r="O31" s="211" t="n"/>
      <c r="P31" s="211" t="n"/>
      <c r="Q31" s="211" t="n"/>
      <c r="R31" s="211" t="n"/>
      <c r="S31" s="211" t="n"/>
      <c r="T31" s="211" t="n"/>
      <c r="U31" s="211" t="n"/>
      <c r="V31" s="211" t="n"/>
      <c r="W31" s="211" t="n"/>
      <c r="X31" s="211" t="n"/>
      <c r="Y31" s="211" t="n"/>
      <c r="Z31" s="211" t="n"/>
      <c r="AA31" s="211" t="n"/>
      <c r="AB31" s="211" t="n"/>
      <c r="AC31" s="211" t="n"/>
      <c r="AD31" s="211" t="n"/>
      <c r="AE31" s="211" t="n"/>
      <c r="AF31" s="211" t="n"/>
      <c r="AG31" s="211" t="n"/>
      <c r="AH31" s="211" t="n"/>
      <c r="AI31" s="211" t="n"/>
      <c r="AJ31" s="211" t="n"/>
      <c r="AK31" s="211" t="n"/>
      <c r="AL31" s="211" t="n"/>
      <c r="AM31" s="211" t="n"/>
      <c r="AN31" s="211" t="n"/>
      <c r="AO31" s="211" t="n"/>
      <c r="AP31" s="211" t="n"/>
      <c r="AQ31" s="211" t="n"/>
      <c r="AR31" s="211" t="n"/>
      <c r="AS31" s="211" t="n"/>
      <c r="AT31" s="211" t="n"/>
      <c r="AU31" s="211" t="n"/>
      <c r="AV31" s="211" t="n"/>
      <c r="AW31" s="66" t="n"/>
      <c r="BB31" s="59" t="n"/>
      <c r="BC31" s="59" t="n"/>
      <c r="BD31" s="59" t="n"/>
      <c r="BE31" s="59" t="n"/>
      <c r="BF31" s="59" t="n"/>
      <c r="BG31" s="59" t="n"/>
    </row>
    <row r="32" ht="20.25" customFormat="1" customHeight="1" s="192">
      <c r="A32" s="54" t="n"/>
      <c r="B32" s="55" t="n"/>
      <c r="C32" s="56" t="n"/>
      <c r="D32" s="56" t="n"/>
      <c r="E32" s="211" t="n"/>
      <c r="F32" s="211" t="n"/>
      <c r="G32" s="211" t="n"/>
      <c r="H32" s="211" t="n"/>
      <c r="I32" s="211" t="n"/>
      <c r="J32" s="211" t="n"/>
      <c r="K32" s="211" t="n"/>
      <c r="L32" s="211" t="n"/>
      <c r="M32" s="211" t="n"/>
      <c r="N32" s="211" t="n"/>
      <c r="O32" s="211" t="n"/>
      <c r="P32" s="211" t="n"/>
      <c r="Q32" s="211" t="n"/>
      <c r="R32" s="211" t="n"/>
      <c r="S32" s="211" t="n"/>
      <c r="T32" s="211" t="n"/>
      <c r="U32" s="211" t="n"/>
      <c r="V32" s="211" t="n"/>
      <c r="W32" s="211" t="n"/>
      <c r="X32" s="211" t="n"/>
      <c r="Y32" s="211" t="n"/>
      <c r="Z32" s="211" t="n"/>
      <c r="AA32" s="211" t="n"/>
      <c r="AB32" s="211" t="n"/>
      <c r="AC32" s="211" t="n"/>
      <c r="AD32" s="211" t="n"/>
      <c r="AE32" s="211" t="n"/>
      <c r="AF32" s="211" t="n"/>
      <c r="AG32" s="211" t="n"/>
      <c r="AH32" s="211" t="n"/>
      <c r="AI32" s="211" t="n"/>
      <c r="AJ32" s="211" t="n"/>
      <c r="AK32" s="211" t="n"/>
      <c r="AL32" s="211" t="n"/>
      <c r="AM32" s="211" t="n"/>
      <c r="AN32" s="211" t="n"/>
      <c r="AO32" s="211" t="n"/>
      <c r="AP32" s="211" t="n"/>
      <c r="AQ32" s="211" t="n"/>
      <c r="AR32" s="211" t="n"/>
      <c r="AS32" s="211" t="n"/>
      <c r="AT32" s="211" t="n"/>
      <c r="AU32" s="211" t="n"/>
      <c r="AV32" s="211" t="n"/>
      <c r="AW32" s="66" t="n"/>
      <c r="BB32" s="59" t="n"/>
      <c r="BC32" s="59" t="n"/>
      <c r="BD32" s="59" t="n"/>
      <c r="BE32" s="59" t="n"/>
      <c r="BF32" s="59" t="n"/>
      <c r="BG32" s="59" t="n"/>
    </row>
  </sheetData>
  <mergeCells count="44">
    <mergeCell ref="B3:D3"/>
    <mergeCell ref="AY2:AZ2"/>
    <mergeCell ref="AX3:AY3"/>
    <mergeCell ref="AX4:AY4"/>
    <mergeCell ref="A2:D2"/>
    <mergeCell ref="E4:G4"/>
    <mergeCell ref="H4:J4"/>
    <mergeCell ref="K4:M4"/>
    <mergeCell ref="N4:P4"/>
    <mergeCell ref="Q4:S4"/>
    <mergeCell ref="W4:Y4"/>
    <mergeCell ref="AR4:AT4"/>
    <mergeCell ref="AU4:AW4"/>
    <mergeCell ref="T4:V4"/>
    <mergeCell ref="Z4:AB4"/>
    <mergeCell ref="AC4:AE4"/>
    <mergeCell ref="B10:D10"/>
    <mergeCell ref="B12:D12"/>
    <mergeCell ref="B4:D4"/>
    <mergeCell ref="B11:D11"/>
    <mergeCell ref="B5:D5"/>
    <mergeCell ref="B7:D7"/>
    <mergeCell ref="B6:D6"/>
    <mergeCell ref="AF4:AH4"/>
    <mergeCell ref="AI4:AK4"/>
    <mergeCell ref="AL4:AN4"/>
    <mergeCell ref="AO4:AQ4"/>
    <mergeCell ref="E25:F25"/>
    <mergeCell ref="B23:D23"/>
    <mergeCell ref="B18:D18"/>
    <mergeCell ref="B13:D13"/>
    <mergeCell ref="B14:D14"/>
    <mergeCell ref="AX8:AX9"/>
    <mergeCell ref="AX12:AY12"/>
    <mergeCell ref="B22:D22"/>
    <mergeCell ref="AX14:AX16"/>
    <mergeCell ref="B15:D15"/>
    <mergeCell ref="B16:D16"/>
    <mergeCell ref="B17:D17"/>
    <mergeCell ref="B19:D19"/>
    <mergeCell ref="B20:D20"/>
    <mergeCell ref="B21:D21"/>
    <mergeCell ref="B8:D8"/>
    <mergeCell ref="B9:D9"/>
  </mergeCells>
  <printOptions horizontalCentered="1"/>
  <pageMargins left="0.393700787401575" right="0.393700787401575" top="0.590551181102362" bottom="0.393700787401575" header="0.393700787401575" footer="0.196850393700787"/>
  <pageSetup orientation="landscape" paperSize="8" scale="21"/>
  <headerFooter>
    <oddHeader>&amp;R&amp;"HG丸ｺﾞｼｯｸM-PRO,標準"&amp;14 ＳＨＣ</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G170"/>
  <sheetViews>
    <sheetView workbookViewId="0">
      <selection activeCell="H34" sqref="H34"/>
    </sheetView>
  </sheetViews>
  <sheetFormatPr baseColWidth="8" defaultRowHeight="14.25"/>
  <cols>
    <col width="19.6640625" bestFit="1" customWidth="1" style="154" min="1" max="1"/>
    <col width="11.53125" bestFit="1" customWidth="1" style="154" min="2" max="3"/>
    <col width="13.9296875" bestFit="1" customWidth="1" style="155" min="4" max="4"/>
    <col width="17.6640625" bestFit="1" customWidth="1" style="154" min="5" max="6"/>
    <col width="18.59765625" bestFit="1" customWidth="1" style="154" min="7" max="7"/>
  </cols>
  <sheetData>
    <row r="1">
      <c r="A1" s="156" t="inlineStr">
        <is>
          <t>Period</t>
        </is>
      </c>
      <c r="B1" s="225" t="inlineStr">
        <is>
          <t>(All)</t>
        </is>
      </c>
    </row>
    <row r="3">
      <c r="A3" s="156" t="inlineStr">
        <is>
          <t>Row Labels</t>
        </is>
      </c>
      <c r="B3" s="225" t="inlineStr">
        <is>
          <t>Sum of 目標</t>
        </is>
      </c>
      <c r="C3" s="225" t="inlineStr">
        <is>
          <t>Sum of 実績</t>
        </is>
      </c>
      <c r="D3" s="225" t="inlineStr">
        <is>
          <t>Sum of 達成率</t>
        </is>
      </c>
      <c r="E3" s="225" t="inlineStr">
        <is>
          <t>Count of 人数実績</t>
        </is>
      </c>
      <c r="F3" s="225" t="inlineStr">
        <is>
          <t>Count of 人数目標</t>
        </is>
      </c>
      <c r="G3" s="225" t="inlineStr">
        <is>
          <t>Sum of 人数達成率</t>
        </is>
      </c>
    </row>
    <row r="4">
      <c r="A4" s="157" t="inlineStr">
        <is>
          <t>内部</t>
        </is>
      </c>
      <c r="B4" s="225" t="n">
        <v>54000</v>
      </c>
      <c r="C4" s="225" t="n">
        <v>29790</v>
      </c>
      <c r="D4" s="225" t="n">
        <v>12.88666666666667</v>
      </c>
      <c r="E4" s="225" t="n">
        <v>24</v>
      </c>
      <c r="F4" s="225" t="n">
        <v>24</v>
      </c>
      <c r="G4" s="225" t="n"/>
    </row>
    <row r="5">
      <c r="A5" s="160" t="inlineStr">
        <is>
          <t>アルバイト</t>
        </is>
      </c>
      <c r="B5" s="225" t="n"/>
      <c r="C5" s="225" t="n">
        <v>3960</v>
      </c>
      <c r="D5" s="225" t="n">
        <v>0</v>
      </c>
      <c r="E5" s="225" t="n">
        <v>8</v>
      </c>
      <c r="F5" s="225" t="n"/>
      <c r="G5" s="225" t="n"/>
    </row>
    <row r="6">
      <c r="A6" s="161" t="inlineStr">
        <is>
          <t>10月</t>
        </is>
      </c>
      <c r="B6" s="225" t="n"/>
      <c r="C6" s="225" t="n">
        <v>390</v>
      </c>
      <c r="D6" s="225" t="n">
        <v>0</v>
      </c>
      <c r="E6" s="225" t="n">
        <v>1</v>
      </c>
      <c r="F6" s="225" t="n"/>
      <c r="G6" s="225" t="n"/>
    </row>
    <row r="7">
      <c r="A7" s="161" t="inlineStr">
        <is>
          <t>11月</t>
        </is>
      </c>
      <c r="B7" s="225" t="n"/>
      <c r="C7" s="225" t="n">
        <v>300</v>
      </c>
      <c r="D7" s="225" t="n">
        <v>0</v>
      </c>
      <c r="E7" s="225" t="n">
        <v>1</v>
      </c>
      <c r="F7" s="225" t="n"/>
      <c r="G7" s="225" t="n"/>
    </row>
    <row r="8">
      <c r="A8" s="161" t="inlineStr">
        <is>
          <t>12月</t>
        </is>
      </c>
      <c r="B8" s="225" t="n"/>
      <c r="C8" s="225" t="n"/>
      <c r="D8" s="225" t="n">
        <v>0</v>
      </c>
      <c r="E8" s="225" t="n"/>
      <c r="F8" s="225" t="n"/>
      <c r="G8" s="225" t="n"/>
    </row>
    <row r="9">
      <c r="A9" s="161" t="inlineStr">
        <is>
          <t>1月</t>
        </is>
      </c>
      <c r="B9" s="225" t="n"/>
      <c r="C9" s="225" t="n"/>
      <c r="D9" s="225" t="n">
        <v>0</v>
      </c>
      <c r="E9" s="225" t="n"/>
      <c r="F9" s="225" t="n"/>
      <c r="G9" s="225" t="n"/>
    </row>
    <row r="10">
      <c r="A10" s="161" t="inlineStr">
        <is>
          <t>2月</t>
        </is>
      </c>
      <c r="B10" s="225" t="n"/>
      <c r="C10" s="225" t="n"/>
      <c r="D10" s="225" t="n">
        <v>0</v>
      </c>
      <c r="E10" s="225" t="n"/>
      <c r="F10" s="225" t="n"/>
      <c r="G10" s="225" t="n"/>
    </row>
    <row r="11">
      <c r="A11" s="161" t="inlineStr">
        <is>
          <t>3月</t>
        </is>
      </c>
      <c r="B11" s="225" t="n"/>
      <c r="C11" s="225" t="n"/>
      <c r="D11" s="225" t="n">
        <v>0</v>
      </c>
      <c r="E11" s="225" t="n"/>
      <c r="F11" s="225" t="n"/>
      <c r="G11" s="225" t="n"/>
    </row>
    <row r="12">
      <c r="A12" s="161" t="inlineStr">
        <is>
          <t>4月</t>
        </is>
      </c>
      <c r="B12" s="225" t="n"/>
      <c r="C12" s="225" t="n">
        <v>720</v>
      </c>
      <c r="D12" s="225" t="n">
        <v>0</v>
      </c>
      <c r="E12" s="225" t="n">
        <v>1</v>
      </c>
      <c r="F12" s="225" t="n"/>
      <c r="G12" s="225" t="n"/>
    </row>
    <row r="13">
      <c r="A13" s="161" t="inlineStr">
        <is>
          <t>5月</t>
        </is>
      </c>
      <c r="B13" s="225" t="n"/>
      <c r="C13" s="225" t="n">
        <v>390</v>
      </c>
      <c r="D13" s="225" t="n">
        <v>0</v>
      </c>
      <c r="E13" s="225" t="n">
        <v>1</v>
      </c>
      <c r="F13" s="225" t="n"/>
      <c r="G13" s="225" t="n"/>
    </row>
    <row r="14">
      <c r="A14" s="161" t="inlineStr">
        <is>
          <t>6月</t>
        </is>
      </c>
      <c r="B14" s="225" t="n"/>
      <c r="C14" s="225" t="n">
        <v>450</v>
      </c>
      <c r="D14" s="225" t="n">
        <v>0</v>
      </c>
      <c r="E14" s="225" t="n">
        <v>1</v>
      </c>
      <c r="F14" s="225" t="n"/>
      <c r="G14" s="225" t="n"/>
    </row>
    <row r="15">
      <c r="A15" s="161" t="inlineStr">
        <is>
          <t>7月</t>
        </is>
      </c>
      <c r="B15" s="225" t="n"/>
      <c r="C15" s="225" t="n">
        <v>210</v>
      </c>
      <c r="D15" s="225" t="n">
        <v>0</v>
      </c>
      <c r="E15" s="225" t="n">
        <v>1</v>
      </c>
      <c r="F15" s="225" t="n"/>
      <c r="G15" s="225" t="n"/>
    </row>
    <row r="16">
      <c r="A16" s="161" t="inlineStr">
        <is>
          <t>8月</t>
        </is>
      </c>
      <c r="B16" s="225" t="n"/>
      <c r="C16" s="225" t="n">
        <v>870</v>
      </c>
      <c r="D16" s="225" t="n">
        <v>0</v>
      </c>
      <c r="E16" s="225" t="n">
        <v>1</v>
      </c>
      <c r="F16" s="225" t="n"/>
      <c r="G16" s="225" t="n"/>
    </row>
    <row r="17">
      <c r="A17" s="161" t="inlineStr">
        <is>
          <t>9月</t>
        </is>
      </c>
      <c r="B17" s="225" t="n"/>
      <c r="C17" s="225" t="n">
        <v>630</v>
      </c>
      <c r="D17" s="225" t="n">
        <v>0</v>
      </c>
      <c r="E17" s="225" t="n">
        <v>1</v>
      </c>
      <c r="F17" s="225" t="n"/>
      <c r="G17" s="225" t="n"/>
    </row>
    <row r="18">
      <c r="A18" s="160" t="inlineStr">
        <is>
          <t>技人国</t>
        </is>
      </c>
      <c r="B18" s="225" t="n"/>
      <c r="C18" s="225" t="n">
        <v>1200</v>
      </c>
      <c r="D18" s="225" t="n">
        <v>0</v>
      </c>
      <c r="E18" s="225" t="n"/>
      <c r="F18" s="225" t="n"/>
      <c r="G18" s="225" t="n"/>
    </row>
    <row r="19">
      <c r="A19" s="161" t="inlineStr">
        <is>
          <t>10月</t>
        </is>
      </c>
      <c r="B19" s="225" t="n"/>
      <c r="C19" s="225" t="n">
        <v>0</v>
      </c>
      <c r="D19" s="225" t="n">
        <v>0</v>
      </c>
      <c r="E19" s="225" t="n"/>
      <c r="F19" s="225" t="n"/>
      <c r="G19" s="225" t="n"/>
    </row>
    <row r="20">
      <c r="A20" s="161" t="inlineStr">
        <is>
          <t>11月</t>
        </is>
      </c>
      <c r="B20" s="225" t="n"/>
      <c r="C20" s="225" t="n">
        <v>0</v>
      </c>
      <c r="D20" s="225" t="n">
        <v>0</v>
      </c>
      <c r="E20" s="225" t="n"/>
      <c r="F20" s="225" t="n"/>
      <c r="G20" s="225" t="n"/>
    </row>
    <row r="21">
      <c r="A21" s="161" t="inlineStr">
        <is>
          <t>12月</t>
        </is>
      </c>
      <c r="B21" s="225" t="n"/>
      <c r="C21" s="225" t="n">
        <v>0</v>
      </c>
      <c r="D21" s="225" t="n">
        <v>0</v>
      </c>
      <c r="E21" s="225" t="n"/>
      <c r="F21" s="225" t="n"/>
      <c r="G21" s="225" t="n"/>
    </row>
    <row r="22">
      <c r="A22" s="161" t="inlineStr">
        <is>
          <t>1月</t>
        </is>
      </c>
      <c r="B22" s="225" t="n"/>
      <c r="C22" s="225" t="n">
        <v>0</v>
      </c>
      <c r="D22" s="225" t="n">
        <v>0</v>
      </c>
      <c r="E22" s="225" t="n"/>
      <c r="F22" s="225" t="n"/>
      <c r="G22" s="225" t="n"/>
    </row>
    <row r="23">
      <c r="A23" s="161" t="inlineStr">
        <is>
          <t>2月</t>
        </is>
      </c>
      <c r="B23" s="225" t="n"/>
      <c r="C23" s="225" t="n">
        <v>0</v>
      </c>
      <c r="D23" s="225" t="n">
        <v>0</v>
      </c>
      <c r="E23" s="225" t="n"/>
      <c r="F23" s="225" t="n"/>
      <c r="G23" s="225" t="n"/>
    </row>
    <row r="24">
      <c r="A24" s="161" t="inlineStr">
        <is>
          <t>3月</t>
        </is>
      </c>
      <c r="B24" s="225" t="n"/>
      <c r="C24" s="225" t="n">
        <v>0</v>
      </c>
      <c r="D24" s="225" t="n">
        <v>0</v>
      </c>
      <c r="E24" s="225" t="n"/>
      <c r="F24" s="225" t="n"/>
      <c r="G24" s="225" t="n"/>
    </row>
    <row r="25">
      <c r="A25" s="161" t="inlineStr">
        <is>
          <t>4月</t>
        </is>
      </c>
      <c r="B25" s="225" t="n"/>
      <c r="C25" s="225" t="n">
        <v>0</v>
      </c>
      <c r="D25" s="225" t="n">
        <v>0</v>
      </c>
      <c r="E25" s="225" t="n"/>
      <c r="F25" s="225" t="n"/>
      <c r="G25" s="225" t="n"/>
    </row>
    <row r="26">
      <c r="A26" s="161" t="inlineStr">
        <is>
          <t>5月</t>
        </is>
      </c>
      <c r="B26" s="225" t="n"/>
      <c r="C26" s="225" t="n">
        <v>400</v>
      </c>
      <c r="D26" s="225" t="n">
        <v>0</v>
      </c>
      <c r="E26" s="225" t="n"/>
      <c r="F26" s="225" t="n"/>
      <c r="G26" s="225" t="n"/>
    </row>
    <row r="27">
      <c r="A27" s="161" t="inlineStr">
        <is>
          <t>6月</t>
        </is>
      </c>
      <c r="B27" s="225" t="n"/>
      <c r="C27" s="225" t="n">
        <v>800</v>
      </c>
      <c r="D27" s="225" t="n">
        <v>0</v>
      </c>
      <c r="E27" s="225" t="n"/>
      <c r="F27" s="225" t="n"/>
      <c r="G27" s="225" t="n"/>
    </row>
    <row r="28">
      <c r="A28" s="161" t="inlineStr">
        <is>
          <t>7月</t>
        </is>
      </c>
      <c r="B28" s="225" t="n"/>
      <c r="C28" s="225" t="n">
        <v>0</v>
      </c>
      <c r="D28" s="225" t="n">
        <v>0</v>
      </c>
      <c r="E28" s="225" t="n"/>
      <c r="F28" s="225" t="n"/>
      <c r="G28" s="225" t="n"/>
    </row>
    <row r="29">
      <c r="A29" s="161" t="inlineStr">
        <is>
          <t>8月</t>
        </is>
      </c>
      <c r="B29" s="225" t="n"/>
      <c r="C29" s="225" t="n">
        <v>0</v>
      </c>
      <c r="D29" s="225" t="n">
        <v>0</v>
      </c>
      <c r="E29" s="225" t="n"/>
      <c r="F29" s="225" t="n"/>
      <c r="G29" s="225" t="n"/>
    </row>
    <row r="30">
      <c r="A30" s="161" t="inlineStr">
        <is>
          <t>9月</t>
        </is>
      </c>
      <c r="B30" s="225" t="n"/>
      <c r="C30" s="225" t="n">
        <v>0</v>
      </c>
      <c r="D30" s="225" t="n">
        <v>0</v>
      </c>
      <c r="E30" s="225" t="n"/>
      <c r="F30" s="225" t="n"/>
      <c r="G30" s="225" t="n"/>
    </row>
    <row r="31">
      <c r="A31" s="160" t="inlineStr">
        <is>
          <t>支援人数</t>
        </is>
      </c>
      <c r="B31" s="225" t="n">
        <v>18000</v>
      </c>
      <c r="C31" s="225" t="n">
        <v>14030</v>
      </c>
      <c r="D31" s="225" t="n">
        <v>9.353333333333333</v>
      </c>
      <c r="E31" s="225" t="n">
        <v>8</v>
      </c>
      <c r="F31" s="225" t="n">
        <v>12</v>
      </c>
      <c r="G31" s="225" t="n"/>
    </row>
    <row r="32">
      <c r="A32" s="161" t="inlineStr">
        <is>
          <t>10月</t>
        </is>
      </c>
      <c r="B32" s="225" t="n">
        <v>1500</v>
      </c>
      <c r="C32" s="225" t="n">
        <v>1830</v>
      </c>
      <c r="D32" s="225" t="n">
        <v>1.22</v>
      </c>
      <c r="E32" s="225" t="n">
        <v>1</v>
      </c>
      <c r="F32" s="225" t="n">
        <v>1</v>
      </c>
      <c r="G32" s="225" t="n"/>
    </row>
    <row r="33">
      <c r="A33" s="161" t="inlineStr">
        <is>
          <t>11月</t>
        </is>
      </c>
      <c r="B33" s="225" t="n">
        <v>1500</v>
      </c>
      <c r="C33" s="225" t="n">
        <v>1930</v>
      </c>
      <c r="D33" s="225" t="n">
        <v>1.286666666666667</v>
      </c>
      <c r="E33" s="225" t="n">
        <v>1</v>
      </c>
      <c r="F33" s="225" t="n">
        <v>1</v>
      </c>
      <c r="G33" s="225" t="n"/>
    </row>
    <row r="34">
      <c r="A34" s="161" t="inlineStr">
        <is>
          <t>12月</t>
        </is>
      </c>
      <c r="B34" s="225" t="n">
        <v>1500</v>
      </c>
      <c r="C34" s="225" t="n"/>
      <c r="D34" s="225" t="n">
        <v>0</v>
      </c>
      <c r="E34" s="225" t="n"/>
      <c r="F34" s="225" t="n">
        <v>1</v>
      </c>
      <c r="G34" s="225" t="n"/>
    </row>
    <row r="35">
      <c r="A35" s="161" t="inlineStr">
        <is>
          <t>1月</t>
        </is>
      </c>
      <c r="B35" s="225" t="n">
        <v>1500</v>
      </c>
      <c r="C35" s="225" t="n"/>
      <c r="D35" s="225" t="n">
        <v>0</v>
      </c>
      <c r="E35" s="225" t="n"/>
      <c r="F35" s="225" t="n">
        <v>1</v>
      </c>
      <c r="G35" s="225" t="n"/>
    </row>
    <row r="36">
      <c r="A36" s="161" t="inlineStr">
        <is>
          <t>2月</t>
        </is>
      </c>
      <c r="B36" s="225" t="n">
        <v>1500</v>
      </c>
      <c r="C36" s="225" t="n"/>
      <c r="D36" s="225" t="n">
        <v>0</v>
      </c>
      <c r="E36" s="225" t="n"/>
      <c r="F36" s="225" t="n">
        <v>1</v>
      </c>
      <c r="G36" s="225" t="n"/>
    </row>
    <row r="37">
      <c r="A37" s="161" t="inlineStr">
        <is>
          <t>3月</t>
        </is>
      </c>
      <c r="B37" s="225" t="n">
        <v>1500</v>
      </c>
      <c r="C37" s="225" t="n"/>
      <c r="D37" s="225" t="n">
        <v>0</v>
      </c>
      <c r="E37" s="225" t="n"/>
      <c r="F37" s="225" t="n">
        <v>1</v>
      </c>
      <c r="G37" s="225" t="n"/>
    </row>
    <row r="38">
      <c r="A38" s="161" t="inlineStr">
        <is>
          <t>4月</t>
        </is>
      </c>
      <c r="B38" s="225" t="n">
        <v>1500</v>
      </c>
      <c r="C38" s="225" t="n">
        <v>1600</v>
      </c>
      <c r="D38" s="225" t="n">
        <v>1.066666666666667</v>
      </c>
      <c r="E38" s="225" t="n">
        <v>1</v>
      </c>
      <c r="F38" s="225" t="n">
        <v>1</v>
      </c>
      <c r="G38" s="225" t="n"/>
    </row>
    <row r="39">
      <c r="A39" s="161" t="inlineStr">
        <is>
          <t>5月</t>
        </is>
      </c>
      <c r="B39" s="225" t="n">
        <v>1500</v>
      </c>
      <c r="C39" s="225" t="n">
        <v>1680</v>
      </c>
      <c r="D39" s="225" t="n">
        <v>1.12</v>
      </c>
      <c r="E39" s="225" t="n">
        <v>1</v>
      </c>
      <c r="F39" s="225" t="n">
        <v>1</v>
      </c>
      <c r="G39" s="225" t="n"/>
    </row>
    <row r="40">
      <c r="A40" s="161" t="inlineStr">
        <is>
          <t>6月</t>
        </is>
      </c>
      <c r="B40" s="225" t="n">
        <v>1500</v>
      </c>
      <c r="C40" s="225" t="n">
        <v>1690</v>
      </c>
      <c r="D40" s="225" t="n">
        <v>1.126666666666667</v>
      </c>
      <c r="E40" s="225" t="n">
        <v>1</v>
      </c>
      <c r="F40" s="225" t="n">
        <v>1</v>
      </c>
      <c r="G40" s="225" t="n"/>
    </row>
    <row r="41">
      <c r="A41" s="161" t="inlineStr">
        <is>
          <t>7月</t>
        </is>
      </c>
      <c r="B41" s="225" t="n">
        <v>1500</v>
      </c>
      <c r="C41" s="225" t="n">
        <v>1730</v>
      </c>
      <c r="D41" s="225" t="n">
        <v>1.153333333333333</v>
      </c>
      <c r="E41" s="225" t="n">
        <v>1</v>
      </c>
      <c r="F41" s="225" t="n">
        <v>1</v>
      </c>
      <c r="G41" s="225" t="n"/>
    </row>
    <row r="42">
      <c r="A42" s="161" t="inlineStr">
        <is>
          <t>8月</t>
        </is>
      </c>
      <c r="B42" s="225" t="n">
        <v>1500</v>
      </c>
      <c r="C42" s="225" t="n">
        <v>1770</v>
      </c>
      <c r="D42" s="225" t="n">
        <v>1.18</v>
      </c>
      <c r="E42" s="225" t="n">
        <v>1</v>
      </c>
      <c r="F42" s="225" t="n">
        <v>1</v>
      </c>
      <c r="G42" s="225" t="n"/>
    </row>
    <row r="43">
      <c r="A43" s="161" t="inlineStr">
        <is>
          <t>9月</t>
        </is>
      </c>
      <c r="B43" s="225" t="n">
        <v>1500</v>
      </c>
      <c r="C43" s="225" t="n">
        <v>1800</v>
      </c>
      <c r="D43" s="225" t="n">
        <v>1.2</v>
      </c>
      <c r="E43" s="225" t="n">
        <v>1</v>
      </c>
      <c r="F43" s="225" t="n">
        <v>1</v>
      </c>
      <c r="G43" s="225" t="n"/>
    </row>
    <row r="44">
      <c r="A44" s="160" t="inlineStr">
        <is>
          <t>特定技能</t>
        </is>
      </c>
      <c r="B44" s="225" t="n">
        <v>36000</v>
      </c>
      <c r="C44" s="225" t="n">
        <v>10600</v>
      </c>
      <c r="D44" s="225" t="n">
        <v>3.533333333333334</v>
      </c>
      <c r="E44" s="225" t="n">
        <v>8</v>
      </c>
      <c r="F44" s="225" t="n">
        <v>12</v>
      </c>
      <c r="G44" s="225" t="n"/>
    </row>
    <row r="45">
      <c r="A45" s="161" t="inlineStr">
        <is>
          <t>10月</t>
        </is>
      </c>
      <c r="B45" s="225" t="n">
        <v>3000</v>
      </c>
      <c r="C45" s="225" t="n">
        <v>800</v>
      </c>
      <c r="D45" s="225" t="n">
        <v>0.2666666666666667</v>
      </c>
      <c r="E45" s="225" t="n">
        <v>1</v>
      </c>
      <c r="F45" s="225" t="n">
        <v>1</v>
      </c>
      <c r="G45" s="225" t="n"/>
    </row>
    <row r="46">
      <c r="A46" s="161" t="inlineStr">
        <is>
          <t>11月</t>
        </is>
      </c>
      <c r="B46" s="225" t="n">
        <v>3000</v>
      </c>
      <c r="C46" s="225" t="n">
        <v>1400</v>
      </c>
      <c r="D46" s="225" t="n">
        <v>0.4666666666666667</v>
      </c>
      <c r="E46" s="225" t="n">
        <v>1</v>
      </c>
      <c r="F46" s="225" t="n">
        <v>1</v>
      </c>
      <c r="G46" s="225" t="n"/>
    </row>
    <row r="47">
      <c r="A47" s="161" t="inlineStr">
        <is>
          <t>12月</t>
        </is>
      </c>
      <c r="B47" s="225" t="n">
        <v>3000</v>
      </c>
      <c r="C47" s="225" t="n"/>
      <c r="D47" s="225" t="n">
        <v>0</v>
      </c>
      <c r="E47" s="225" t="n"/>
      <c r="F47" s="225" t="n">
        <v>1</v>
      </c>
      <c r="G47" s="225" t="n"/>
    </row>
    <row r="48">
      <c r="A48" s="161" t="inlineStr">
        <is>
          <t>1月</t>
        </is>
      </c>
      <c r="B48" s="225" t="n">
        <v>3000</v>
      </c>
      <c r="C48" s="225" t="n"/>
      <c r="D48" s="225" t="n">
        <v>0</v>
      </c>
      <c r="E48" s="225" t="n"/>
      <c r="F48" s="225" t="n">
        <v>1</v>
      </c>
      <c r="G48" s="225" t="n"/>
    </row>
    <row r="49">
      <c r="A49" s="161" t="inlineStr">
        <is>
          <t>2月</t>
        </is>
      </c>
      <c r="B49" s="225" t="n">
        <v>3000</v>
      </c>
      <c r="C49" s="225" t="n"/>
      <c r="D49" s="225" t="n">
        <v>0</v>
      </c>
      <c r="E49" s="225" t="n"/>
      <c r="F49" s="225" t="n">
        <v>1</v>
      </c>
      <c r="G49" s="225" t="n"/>
    </row>
    <row r="50">
      <c r="A50" s="161" t="inlineStr">
        <is>
          <t>3月</t>
        </is>
      </c>
      <c r="B50" s="225" t="n">
        <v>3000</v>
      </c>
      <c r="C50" s="225" t="n"/>
      <c r="D50" s="225" t="n">
        <v>0</v>
      </c>
      <c r="E50" s="225" t="n"/>
      <c r="F50" s="225" t="n">
        <v>1</v>
      </c>
      <c r="G50" s="225" t="n"/>
    </row>
    <row r="51">
      <c r="A51" s="161" t="inlineStr">
        <is>
          <t>4月</t>
        </is>
      </c>
      <c r="B51" s="225" t="n">
        <v>3000</v>
      </c>
      <c r="C51" s="225" t="n">
        <v>800</v>
      </c>
      <c r="D51" s="225" t="n">
        <v>0.2666666666666667</v>
      </c>
      <c r="E51" s="225" t="n">
        <v>1</v>
      </c>
      <c r="F51" s="225" t="n">
        <v>1</v>
      </c>
      <c r="G51" s="225" t="n"/>
    </row>
    <row r="52">
      <c r="A52" s="161" t="inlineStr">
        <is>
          <t>5月</t>
        </is>
      </c>
      <c r="B52" s="225" t="n">
        <v>3000</v>
      </c>
      <c r="C52" s="225" t="n">
        <v>2400</v>
      </c>
      <c r="D52" s="225" t="n">
        <v>0.8</v>
      </c>
      <c r="E52" s="225" t="n">
        <v>1</v>
      </c>
      <c r="F52" s="225" t="n">
        <v>1</v>
      </c>
      <c r="G52" s="225" t="n"/>
    </row>
    <row r="53">
      <c r="A53" s="161" t="inlineStr">
        <is>
          <t>6月</t>
        </is>
      </c>
      <c r="B53" s="225" t="n">
        <v>3000</v>
      </c>
      <c r="C53" s="225" t="n">
        <v>2400</v>
      </c>
      <c r="D53" s="225" t="n">
        <v>0.8</v>
      </c>
      <c r="E53" s="225" t="n">
        <v>1</v>
      </c>
      <c r="F53" s="225" t="n">
        <v>1</v>
      </c>
      <c r="G53" s="225" t="n"/>
    </row>
    <row r="54">
      <c r="A54" s="161" t="inlineStr">
        <is>
          <t>7月</t>
        </is>
      </c>
      <c r="B54" s="225" t="n">
        <v>3000</v>
      </c>
      <c r="C54" s="225" t="n">
        <v>1000</v>
      </c>
      <c r="D54" s="225" t="n">
        <v>0.3333333333333333</v>
      </c>
      <c r="E54" s="225" t="n">
        <v>1</v>
      </c>
      <c r="F54" s="225" t="n">
        <v>1</v>
      </c>
      <c r="G54" s="225" t="n"/>
    </row>
    <row r="55">
      <c r="A55" s="161" t="inlineStr">
        <is>
          <t>8月</t>
        </is>
      </c>
      <c r="B55" s="225" t="n">
        <v>3000</v>
      </c>
      <c r="C55" s="225" t="n">
        <v>600</v>
      </c>
      <c r="D55" s="225" t="n">
        <v>0.2</v>
      </c>
      <c r="E55" s="225" t="n">
        <v>1</v>
      </c>
      <c r="F55" s="225" t="n">
        <v>1</v>
      </c>
      <c r="G55" s="225" t="n"/>
    </row>
    <row r="56">
      <c r="A56" s="161" t="inlineStr">
        <is>
          <t>9月</t>
        </is>
      </c>
      <c r="B56" s="225" t="n">
        <v>3000</v>
      </c>
      <c r="C56" s="225" t="n">
        <v>1200</v>
      </c>
      <c r="D56" s="225" t="n">
        <v>0.4</v>
      </c>
      <c r="E56" s="225" t="n">
        <v>1</v>
      </c>
      <c r="F56" s="225" t="n">
        <v>1</v>
      </c>
      <c r="G56" s="225" t="n"/>
    </row>
    <row r="57">
      <c r="A57" s="157" t="inlineStr">
        <is>
          <t>外部</t>
        </is>
      </c>
      <c r="B57" s="225" t="n">
        <v>13200</v>
      </c>
      <c r="C57" s="225" t="n">
        <v>2699</v>
      </c>
      <c r="D57" s="225" t="n">
        <v>2.737777777777778</v>
      </c>
      <c r="E57" s="225" t="n">
        <v>18</v>
      </c>
      <c r="F57" s="225" t="n">
        <v>11</v>
      </c>
      <c r="G57" s="225" t="n"/>
    </row>
    <row r="58">
      <c r="A58" s="160" t="inlineStr">
        <is>
          <t>アルバイト</t>
        </is>
      </c>
      <c r="B58" s="225" t="n"/>
      <c r="C58" s="225" t="n">
        <v>270</v>
      </c>
      <c r="D58" s="225" t="n">
        <v>0</v>
      </c>
      <c r="E58" s="225" t="n">
        <v>12</v>
      </c>
      <c r="F58" s="225" t="n"/>
      <c r="G58" s="225" t="n"/>
    </row>
    <row r="59">
      <c r="A59" s="161" t="inlineStr">
        <is>
          <t>10月</t>
        </is>
      </c>
      <c r="B59" s="225" t="n"/>
      <c r="C59" s="225" t="n"/>
      <c r="D59" s="225" t="n">
        <v>0</v>
      </c>
      <c r="E59" s="225" t="n">
        <v>1</v>
      </c>
      <c r="F59" s="225" t="n"/>
      <c r="G59" s="225" t="n"/>
    </row>
    <row r="60">
      <c r="A60" s="161" t="inlineStr">
        <is>
          <t>11月</t>
        </is>
      </c>
      <c r="B60" s="225" t="n"/>
      <c r="C60" s="225" t="n"/>
      <c r="D60" s="225" t="n">
        <v>0</v>
      </c>
      <c r="E60" s="225" t="n">
        <v>1</v>
      </c>
      <c r="F60" s="225" t="n"/>
      <c r="G60" s="225" t="n"/>
    </row>
    <row r="61">
      <c r="A61" s="161" t="inlineStr">
        <is>
          <t>12月</t>
        </is>
      </c>
      <c r="B61" s="225" t="n"/>
      <c r="C61" s="225" t="n"/>
      <c r="D61" s="225" t="n">
        <v>0</v>
      </c>
      <c r="E61" s="225" t="n">
        <v>1</v>
      </c>
      <c r="F61" s="225" t="n"/>
      <c r="G61" s="225" t="n"/>
    </row>
    <row r="62">
      <c r="A62" s="161" t="inlineStr">
        <is>
          <t>1月</t>
        </is>
      </c>
      <c r="B62" s="225" t="n"/>
      <c r="C62" s="225" t="n"/>
      <c r="D62" s="225" t="n">
        <v>0</v>
      </c>
      <c r="E62" s="225" t="n">
        <v>1</v>
      </c>
      <c r="F62" s="225" t="n"/>
      <c r="G62" s="225" t="n"/>
    </row>
    <row r="63">
      <c r="A63" s="161" t="inlineStr">
        <is>
          <t>2月</t>
        </is>
      </c>
      <c r="B63" s="225" t="n"/>
      <c r="C63" s="225" t="n"/>
      <c r="D63" s="225" t="n">
        <v>0</v>
      </c>
      <c r="E63" s="225" t="n">
        <v>1</v>
      </c>
      <c r="F63" s="225" t="n"/>
      <c r="G63" s="225" t="n"/>
    </row>
    <row r="64">
      <c r="A64" s="161" t="inlineStr">
        <is>
          <t>3月</t>
        </is>
      </c>
      <c r="B64" s="225" t="n"/>
      <c r="C64" s="225" t="n"/>
      <c r="D64" s="225" t="n">
        <v>0</v>
      </c>
      <c r="E64" s="225" t="n">
        <v>1</v>
      </c>
      <c r="F64" s="225" t="n"/>
      <c r="G64" s="225" t="n"/>
    </row>
    <row r="65">
      <c r="A65" s="161" t="inlineStr">
        <is>
          <t>4月</t>
        </is>
      </c>
      <c r="B65" s="225" t="n"/>
      <c r="C65" s="225" t="n">
        <v>60</v>
      </c>
      <c r="D65" s="225" t="n">
        <v>0</v>
      </c>
      <c r="E65" s="225" t="n">
        <v>1</v>
      </c>
      <c r="F65" s="225" t="n"/>
      <c r="G65" s="225" t="n"/>
    </row>
    <row r="66">
      <c r="A66" s="161" t="inlineStr">
        <is>
          <t>5月</t>
        </is>
      </c>
      <c r="B66" s="225" t="n"/>
      <c r="C66" s="225" t="n">
        <v>0</v>
      </c>
      <c r="D66" s="225" t="n">
        <v>0</v>
      </c>
      <c r="E66" s="225" t="n">
        <v>1</v>
      </c>
      <c r="F66" s="225" t="n"/>
      <c r="G66" s="225" t="n"/>
    </row>
    <row r="67">
      <c r="A67" s="161" t="inlineStr">
        <is>
          <t>6月</t>
        </is>
      </c>
      <c r="B67" s="225" t="n"/>
      <c r="C67" s="225" t="n">
        <v>30</v>
      </c>
      <c r="D67" s="225" t="n">
        <v>0</v>
      </c>
      <c r="E67" s="225" t="n">
        <v>1</v>
      </c>
      <c r="F67" s="225" t="n"/>
      <c r="G67" s="225" t="n"/>
    </row>
    <row r="68">
      <c r="A68" s="161" t="inlineStr">
        <is>
          <t>7月</t>
        </is>
      </c>
      <c r="B68" s="225" t="n"/>
      <c r="C68" s="225" t="n">
        <v>180</v>
      </c>
      <c r="D68" s="225" t="n">
        <v>0</v>
      </c>
      <c r="E68" s="225" t="n">
        <v>1</v>
      </c>
      <c r="F68" s="225" t="n"/>
      <c r="G68" s="225" t="n"/>
    </row>
    <row r="69">
      <c r="A69" s="161" t="inlineStr">
        <is>
          <t>8月</t>
        </is>
      </c>
      <c r="B69" s="225" t="n"/>
      <c r="C69" s="225" t="n">
        <v>0</v>
      </c>
      <c r="D69" s="225" t="n">
        <v>0</v>
      </c>
      <c r="E69" s="225" t="n">
        <v>1</v>
      </c>
      <c r="F69" s="225" t="n"/>
      <c r="G69" s="225" t="n"/>
    </row>
    <row r="70">
      <c r="A70" s="161" t="inlineStr">
        <is>
          <t>9月</t>
        </is>
      </c>
      <c r="B70" s="225" t="n"/>
      <c r="C70" s="225" t="n">
        <v>0</v>
      </c>
      <c r="D70" s="225" t="n">
        <v>0</v>
      </c>
      <c r="E70" s="225" t="n">
        <v>1</v>
      </c>
      <c r="F70" s="225" t="n"/>
      <c r="G70" s="225" t="n"/>
    </row>
    <row r="71">
      <c r="A71" s="160" t="inlineStr">
        <is>
          <t>技人国</t>
        </is>
      </c>
      <c r="B71" s="225" t="n">
        <v>10800</v>
      </c>
      <c r="C71" s="225" t="n">
        <v>1564</v>
      </c>
      <c r="D71" s="225" t="n">
        <v>1.737777777777778</v>
      </c>
      <c r="E71" s="225" t="n"/>
      <c r="F71" s="225" t="n"/>
      <c r="G71" s="225" t="n"/>
    </row>
    <row r="72">
      <c r="A72" s="161" t="inlineStr">
        <is>
          <t>10月</t>
        </is>
      </c>
      <c r="B72" s="225" t="n">
        <v>900</v>
      </c>
      <c r="C72" s="225" t="n">
        <v>400</v>
      </c>
      <c r="D72" s="225" t="n">
        <v>0.4444444444444444</v>
      </c>
      <c r="E72" s="225" t="n"/>
      <c r="F72" s="225" t="n"/>
      <c r="G72" s="225" t="n"/>
    </row>
    <row r="73">
      <c r="A73" s="161" t="inlineStr">
        <is>
          <t>11月</t>
        </is>
      </c>
      <c r="B73" s="225" t="n">
        <v>900</v>
      </c>
      <c r="C73" s="225" t="n">
        <v>350</v>
      </c>
      <c r="D73" s="225" t="n">
        <v>0.3888888888888889</v>
      </c>
      <c r="E73" s="225" t="n"/>
      <c r="F73" s="225" t="n"/>
      <c r="G73" s="225" t="n"/>
    </row>
    <row r="74">
      <c r="A74" s="161" t="inlineStr">
        <is>
          <t>12月</t>
        </is>
      </c>
      <c r="B74" s="225" t="n">
        <v>900</v>
      </c>
      <c r="C74" s="225" t="n"/>
      <c r="D74" s="225" t="n">
        <v>0</v>
      </c>
      <c r="E74" s="225" t="n"/>
      <c r="F74" s="225" t="n"/>
      <c r="G74" s="225" t="n"/>
    </row>
    <row r="75">
      <c r="A75" s="161" t="inlineStr">
        <is>
          <t>1月</t>
        </is>
      </c>
      <c r="B75" s="225" t="n">
        <v>900</v>
      </c>
      <c r="C75" s="225" t="n"/>
      <c r="D75" s="225" t="n">
        <v>0</v>
      </c>
      <c r="E75" s="225" t="n"/>
      <c r="F75" s="225" t="n"/>
      <c r="G75" s="225" t="n"/>
    </row>
    <row r="76">
      <c r="A76" s="161" t="inlineStr">
        <is>
          <t>2月</t>
        </is>
      </c>
      <c r="B76" s="225" t="n">
        <v>900</v>
      </c>
      <c r="C76" s="225" t="n"/>
      <c r="D76" s="225" t="n">
        <v>0</v>
      </c>
      <c r="E76" s="225" t="n"/>
      <c r="F76" s="225" t="n"/>
      <c r="G76" s="225" t="n"/>
    </row>
    <row r="77">
      <c r="A77" s="161" t="inlineStr">
        <is>
          <t>3月</t>
        </is>
      </c>
      <c r="B77" s="225" t="n">
        <v>900</v>
      </c>
      <c r="C77" s="225" t="n"/>
      <c r="D77" s="225" t="n">
        <v>0</v>
      </c>
      <c r="E77" s="225" t="n"/>
      <c r="F77" s="225" t="n"/>
      <c r="G77" s="225" t="n"/>
    </row>
    <row r="78">
      <c r="A78" s="161" t="inlineStr">
        <is>
          <t>4月</t>
        </is>
      </c>
      <c r="B78" s="225" t="n">
        <v>900</v>
      </c>
      <c r="C78" s="225" t="n">
        <v>400</v>
      </c>
      <c r="D78" s="225" t="n">
        <v>0.4444444444444444</v>
      </c>
      <c r="E78" s="225" t="n"/>
      <c r="F78" s="225" t="n"/>
      <c r="G78" s="225" t="n"/>
    </row>
    <row r="79">
      <c r="A79" s="161" t="inlineStr">
        <is>
          <t>5月</t>
        </is>
      </c>
      <c r="B79" s="225" t="n">
        <v>900</v>
      </c>
      <c r="C79" s="225" t="n">
        <v>0</v>
      </c>
      <c r="D79" s="225" t="n">
        <v>0</v>
      </c>
      <c r="E79" s="225" t="n"/>
      <c r="F79" s="225" t="n"/>
      <c r="G79" s="225" t="n"/>
    </row>
    <row r="80">
      <c r="A80" s="161" t="inlineStr">
        <is>
          <t>6月</t>
        </is>
      </c>
      <c r="B80" s="225" t="n">
        <v>900</v>
      </c>
      <c r="C80" s="225" t="n">
        <v>0</v>
      </c>
      <c r="D80" s="225" t="n">
        <v>0</v>
      </c>
      <c r="E80" s="225" t="n"/>
      <c r="F80" s="225" t="n"/>
      <c r="G80" s="225" t="n"/>
    </row>
    <row r="81">
      <c r="A81" s="161" t="inlineStr">
        <is>
          <t>7月</t>
        </is>
      </c>
      <c r="B81" s="225" t="n">
        <v>900</v>
      </c>
      <c r="C81" s="225" t="n">
        <v>0</v>
      </c>
      <c r="D81" s="225" t="n">
        <v>0</v>
      </c>
      <c r="E81" s="225" t="n"/>
      <c r="F81" s="225" t="n"/>
      <c r="G81" s="225" t="n"/>
    </row>
    <row r="82">
      <c r="A82" s="161" t="inlineStr">
        <is>
          <t>8月</t>
        </is>
      </c>
      <c r="B82" s="225" t="n">
        <v>900</v>
      </c>
      <c r="C82" s="225" t="n">
        <v>414</v>
      </c>
      <c r="D82" s="225" t="n">
        <v>0.46</v>
      </c>
      <c r="E82" s="225" t="n"/>
      <c r="F82" s="225" t="n"/>
      <c r="G82" s="225" t="n"/>
    </row>
    <row r="83">
      <c r="A83" s="161" t="inlineStr">
        <is>
          <t>9月</t>
        </is>
      </c>
      <c r="B83" s="225" t="n">
        <v>900</v>
      </c>
      <c r="C83" s="225" t="n">
        <v>0</v>
      </c>
      <c r="D83" s="225" t="n">
        <v>0</v>
      </c>
      <c r="E83" s="225" t="n"/>
      <c r="F83" s="225" t="n"/>
      <c r="G83" s="225" t="n"/>
    </row>
    <row r="84">
      <c r="A84" s="160" t="inlineStr">
        <is>
          <t>支援業務</t>
        </is>
      </c>
      <c r="B84" s="225" t="n"/>
      <c r="C84" s="225" t="n">
        <v>665</v>
      </c>
      <c r="D84" s="225" t="n">
        <v>0</v>
      </c>
      <c r="E84" s="225" t="n"/>
      <c r="F84" s="225" t="n"/>
      <c r="G84" s="225" t="n"/>
    </row>
    <row r="85">
      <c r="A85" s="161" t="inlineStr">
        <is>
          <t>10月</t>
        </is>
      </c>
      <c r="B85" s="225" t="n"/>
      <c r="C85" s="225" t="n">
        <v>85</v>
      </c>
      <c r="D85" s="225" t="n">
        <v>0</v>
      </c>
      <c r="E85" s="225" t="n"/>
      <c r="F85" s="225" t="n"/>
      <c r="G85" s="225" t="n"/>
    </row>
    <row r="86">
      <c r="A86" s="161" t="inlineStr">
        <is>
          <t>11月</t>
        </is>
      </c>
      <c r="B86" s="225" t="n"/>
      <c r="C86" s="225" t="n">
        <v>145</v>
      </c>
      <c r="D86" s="225" t="n">
        <v>0</v>
      </c>
      <c r="E86" s="225" t="n"/>
      <c r="F86" s="225" t="n"/>
      <c r="G86" s="225" t="n"/>
    </row>
    <row r="87">
      <c r="A87" s="161" t="inlineStr">
        <is>
          <t>12月</t>
        </is>
      </c>
      <c r="B87" s="225" t="n"/>
      <c r="C87" s="225" t="n"/>
      <c r="D87" s="225" t="n">
        <v>0</v>
      </c>
      <c r="E87" s="225" t="n"/>
      <c r="F87" s="225" t="n"/>
      <c r="G87" s="225" t="n"/>
    </row>
    <row r="88">
      <c r="A88" s="161" t="inlineStr">
        <is>
          <t>1月</t>
        </is>
      </c>
      <c r="B88" s="225" t="n"/>
      <c r="C88" s="225" t="n"/>
      <c r="D88" s="225" t="n">
        <v>0</v>
      </c>
      <c r="E88" s="225" t="n"/>
      <c r="F88" s="225" t="n"/>
      <c r="G88" s="225" t="n"/>
    </row>
    <row r="89">
      <c r="A89" s="161" t="inlineStr">
        <is>
          <t>2月</t>
        </is>
      </c>
      <c r="B89" s="225" t="n"/>
      <c r="C89" s="225" t="n"/>
      <c r="D89" s="225" t="n">
        <v>0</v>
      </c>
      <c r="E89" s="225" t="n"/>
      <c r="F89" s="225" t="n"/>
      <c r="G89" s="225" t="n"/>
    </row>
    <row r="90">
      <c r="A90" s="161" t="inlineStr">
        <is>
          <t>3月</t>
        </is>
      </c>
      <c r="B90" s="225" t="n"/>
      <c r="C90" s="225" t="n"/>
      <c r="D90" s="225" t="n">
        <v>0</v>
      </c>
      <c r="E90" s="225" t="n"/>
      <c r="F90" s="225" t="n"/>
      <c r="G90" s="225" t="n"/>
    </row>
    <row r="91">
      <c r="A91" s="161" t="inlineStr">
        <is>
          <t>4月</t>
        </is>
      </c>
      <c r="B91" s="225" t="n"/>
      <c r="C91" s="225" t="n">
        <v>70</v>
      </c>
      <c r="D91" s="225" t="n">
        <v>0</v>
      </c>
      <c r="E91" s="225" t="n"/>
      <c r="F91" s="225" t="n"/>
      <c r="G91" s="225" t="n"/>
    </row>
    <row r="92">
      <c r="A92" s="161" t="inlineStr">
        <is>
          <t>5月</t>
        </is>
      </c>
      <c r="B92" s="225" t="n"/>
      <c r="C92" s="225" t="n">
        <v>65</v>
      </c>
      <c r="D92" s="225" t="n">
        <v>0</v>
      </c>
      <c r="E92" s="225" t="n"/>
      <c r="F92" s="225" t="n"/>
      <c r="G92" s="225" t="n"/>
    </row>
    <row r="93">
      <c r="A93" s="161" t="inlineStr">
        <is>
          <t>6月</t>
        </is>
      </c>
      <c r="B93" s="225" t="n"/>
      <c r="C93" s="225" t="n">
        <v>65</v>
      </c>
      <c r="D93" s="225" t="n">
        <v>0</v>
      </c>
      <c r="E93" s="225" t="n"/>
      <c r="F93" s="225" t="n"/>
      <c r="G93" s="225" t="n"/>
    </row>
    <row r="94">
      <c r="A94" s="161" t="inlineStr">
        <is>
          <t>7月</t>
        </is>
      </c>
      <c r="B94" s="225" t="n"/>
      <c r="C94" s="225" t="n">
        <v>65</v>
      </c>
      <c r="D94" s="225" t="n">
        <v>0</v>
      </c>
      <c r="E94" s="225" t="n"/>
      <c r="F94" s="225" t="n"/>
      <c r="G94" s="225" t="n"/>
    </row>
    <row r="95">
      <c r="A95" s="161" t="inlineStr">
        <is>
          <t>8月</t>
        </is>
      </c>
      <c r="B95" s="225" t="n"/>
      <c r="C95" s="225" t="n">
        <v>85</v>
      </c>
      <c r="D95" s="225" t="n">
        <v>0</v>
      </c>
      <c r="E95" s="225" t="n"/>
      <c r="F95" s="225" t="n"/>
      <c r="G95" s="225" t="n"/>
    </row>
    <row r="96">
      <c r="A96" s="161" t="inlineStr">
        <is>
          <t>9月</t>
        </is>
      </c>
      <c r="B96" s="225" t="n"/>
      <c r="C96" s="225" t="n">
        <v>85</v>
      </c>
      <c r="D96" s="225" t="n">
        <v>0</v>
      </c>
      <c r="E96" s="225" t="n"/>
      <c r="F96" s="225" t="n"/>
      <c r="G96" s="225" t="n"/>
    </row>
    <row r="97">
      <c r="A97" s="160" t="inlineStr">
        <is>
          <t>特定技能</t>
        </is>
      </c>
      <c r="B97" s="225" t="n">
        <v>2400</v>
      </c>
      <c r="C97" s="225" t="n">
        <v>200</v>
      </c>
      <c r="D97" s="225" t="n">
        <v>1</v>
      </c>
      <c r="E97" s="225" t="n">
        <v>6</v>
      </c>
      <c r="F97" s="225" t="n">
        <v>11</v>
      </c>
      <c r="G97" s="225" t="n"/>
    </row>
    <row r="98">
      <c r="A98" s="161" t="inlineStr">
        <is>
          <t>10月</t>
        </is>
      </c>
      <c r="B98" s="225" t="n">
        <v>200</v>
      </c>
      <c r="C98" s="225" t="n">
        <v>0</v>
      </c>
      <c r="D98" s="225" t="n">
        <v>0</v>
      </c>
      <c r="E98" s="225" t="n"/>
      <c r="F98" s="225" t="n">
        <v>1</v>
      </c>
      <c r="G98" s="225" t="n"/>
    </row>
    <row r="99">
      <c r="A99" s="161" t="inlineStr">
        <is>
          <t>11月</t>
        </is>
      </c>
      <c r="B99" s="225" t="n">
        <v>200</v>
      </c>
      <c r="C99" s="225" t="n">
        <v>0</v>
      </c>
      <c r="D99" s="225" t="n">
        <v>0</v>
      </c>
      <c r="E99" s="225" t="n"/>
      <c r="F99" s="225" t="n">
        <v>1</v>
      </c>
      <c r="G99" s="225" t="n"/>
    </row>
    <row r="100">
      <c r="A100" s="161" t="inlineStr">
        <is>
          <t>12月</t>
        </is>
      </c>
      <c r="B100" s="225" t="n">
        <v>200</v>
      </c>
      <c r="C100" s="225" t="n"/>
      <c r="D100" s="225" t="n">
        <v>0</v>
      </c>
      <c r="E100" s="225" t="n"/>
      <c r="F100" s="225" t="n">
        <v>1</v>
      </c>
      <c r="G100" s="225" t="n"/>
    </row>
    <row r="101">
      <c r="A101" s="161" t="inlineStr">
        <is>
          <t>1月</t>
        </is>
      </c>
      <c r="B101" s="225" t="n">
        <v>200</v>
      </c>
      <c r="C101" s="225" t="n"/>
      <c r="D101" s="225" t="n">
        <v>0</v>
      </c>
      <c r="E101" s="225" t="n"/>
      <c r="F101" s="225" t="n">
        <v>1</v>
      </c>
      <c r="G101" s="225" t="n"/>
    </row>
    <row r="102">
      <c r="A102" s="161" t="inlineStr">
        <is>
          <t>2月</t>
        </is>
      </c>
      <c r="B102" s="225" t="n">
        <v>200</v>
      </c>
      <c r="C102" s="225" t="n"/>
      <c r="D102" s="225" t="n">
        <v>0</v>
      </c>
      <c r="E102" s="225" t="n"/>
      <c r="F102" s="225" t="n">
        <v>1</v>
      </c>
      <c r="G102" s="225" t="n"/>
    </row>
    <row r="103">
      <c r="A103" s="161" t="inlineStr">
        <is>
          <t>3月</t>
        </is>
      </c>
      <c r="B103" s="225" t="n">
        <v>200</v>
      </c>
      <c r="C103" s="225" t="n"/>
      <c r="D103" s="225" t="n">
        <v>0</v>
      </c>
      <c r="E103" s="225" t="n"/>
      <c r="F103" s="225" t="n"/>
      <c r="G103" s="225" t="n"/>
    </row>
    <row r="104">
      <c r="A104" s="161" t="inlineStr">
        <is>
          <t>4月</t>
        </is>
      </c>
      <c r="B104" s="225" t="n">
        <v>200</v>
      </c>
      <c r="C104" s="225" t="n">
        <v>0</v>
      </c>
      <c r="D104" s="225" t="n">
        <v>0</v>
      </c>
      <c r="E104" s="225" t="n">
        <v>1</v>
      </c>
      <c r="F104" s="225" t="n">
        <v>1</v>
      </c>
      <c r="G104" s="225" t="n"/>
    </row>
    <row r="105">
      <c r="A105" s="161" t="inlineStr">
        <is>
          <t>5月</t>
        </is>
      </c>
      <c r="B105" s="225" t="n">
        <v>200</v>
      </c>
      <c r="C105" s="225" t="n">
        <v>200</v>
      </c>
      <c r="D105" s="225" t="n">
        <v>1</v>
      </c>
      <c r="E105" s="225" t="n">
        <v>1</v>
      </c>
      <c r="F105" s="225" t="n">
        <v>1</v>
      </c>
      <c r="G105" s="225" t="n"/>
    </row>
    <row r="106">
      <c r="A106" s="161" t="inlineStr">
        <is>
          <t>6月</t>
        </is>
      </c>
      <c r="B106" s="225" t="n">
        <v>200</v>
      </c>
      <c r="C106" s="225" t="n">
        <v>0</v>
      </c>
      <c r="D106" s="225" t="n">
        <v>0</v>
      </c>
      <c r="E106" s="225" t="n">
        <v>1</v>
      </c>
      <c r="F106" s="225" t="n">
        <v>1</v>
      </c>
      <c r="G106" s="225" t="n"/>
    </row>
    <row r="107">
      <c r="A107" s="161" t="inlineStr">
        <is>
          <t>7月</t>
        </is>
      </c>
      <c r="B107" s="225" t="n">
        <v>200</v>
      </c>
      <c r="C107" s="225" t="n">
        <v>0</v>
      </c>
      <c r="D107" s="225" t="n">
        <v>0</v>
      </c>
      <c r="E107" s="225" t="n">
        <v>1</v>
      </c>
      <c r="F107" s="225" t="n">
        <v>1</v>
      </c>
      <c r="G107" s="225" t="n"/>
    </row>
    <row r="108">
      <c r="A108" s="161" t="inlineStr">
        <is>
          <t>8月</t>
        </is>
      </c>
      <c r="B108" s="225" t="n">
        <v>200</v>
      </c>
      <c r="C108" s="225" t="n">
        <v>0</v>
      </c>
      <c r="D108" s="225" t="n">
        <v>0</v>
      </c>
      <c r="E108" s="225" t="n">
        <v>1</v>
      </c>
      <c r="F108" s="225" t="n">
        <v>1</v>
      </c>
      <c r="G108" s="225" t="n"/>
    </row>
    <row r="109">
      <c r="A109" s="161" t="inlineStr">
        <is>
          <t>9月</t>
        </is>
      </c>
      <c r="B109" s="225" t="n">
        <v>200</v>
      </c>
      <c r="C109" s="225" t="n">
        <v>0</v>
      </c>
      <c r="D109" s="225" t="n">
        <v>0</v>
      </c>
      <c r="E109" s="225" t="n">
        <v>1</v>
      </c>
      <c r="F109" s="225" t="n">
        <v>1</v>
      </c>
      <c r="G109" s="225" t="n"/>
    </row>
    <row r="110">
      <c r="A110" s="157" t="inlineStr">
        <is>
          <t>外部小計</t>
        </is>
      </c>
      <c r="B110" s="225" t="n">
        <v>201600</v>
      </c>
      <c r="C110" s="225" t="n">
        <v>97467</v>
      </c>
      <c r="D110" s="225" t="n">
        <v>7.252008928571429</v>
      </c>
      <c r="E110" s="225" t="n">
        <v>11</v>
      </c>
      <c r="F110" s="225" t="n">
        <v>15</v>
      </c>
      <c r="G110" s="225" t="n">
        <v>12</v>
      </c>
    </row>
    <row r="111">
      <c r="A111" s="160" t="inlineStr">
        <is>
          <t>上期総計</t>
        </is>
      </c>
      <c r="B111" s="225" t="n">
        <v>33600</v>
      </c>
      <c r="C111" s="225" t="n">
        <v>24859</v>
      </c>
      <c r="D111" s="225" t="n">
        <v>0.7398511904761905</v>
      </c>
      <c r="E111" s="225" t="n">
        <v>1</v>
      </c>
      <c r="F111" s="225" t="n">
        <v>1</v>
      </c>
      <c r="G111" s="225" t="n">
        <v>1.266666666666667</v>
      </c>
    </row>
    <row r="112">
      <c r="A112" s="161" t="inlineStr">
        <is>
          <t>総計</t>
        </is>
      </c>
      <c r="B112" s="225" t="n">
        <v>33600</v>
      </c>
      <c r="C112" s="225" t="n">
        <v>24859</v>
      </c>
      <c r="D112" s="225" t="n">
        <v>0.7398511904761905</v>
      </c>
      <c r="E112" s="225" t="n">
        <v>1</v>
      </c>
      <c r="F112" s="225" t="n">
        <v>1</v>
      </c>
      <c r="G112" s="225" t="n">
        <v>1.266666666666667</v>
      </c>
    </row>
    <row r="113">
      <c r="A113" s="160" t="inlineStr">
        <is>
          <t>下期総計</t>
        </is>
      </c>
      <c r="B113" s="225" t="n">
        <v>33600</v>
      </c>
      <c r="C113" s="225" t="n">
        <v>7630</v>
      </c>
      <c r="D113" s="225" t="n">
        <v>0.2270833333333333</v>
      </c>
      <c r="E113" s="225" t="n">
        <v>1</v>
      </c>
      <c r="F113" s="225" t="n">
        <v>1</v>
      </c>
      <c r="G113" s="225" t="n">
        <v>0.3333333333333333</v>
      </c>
    </row>
    <row r="114">
      <c r="A114" s="161" t="inlineStr">
        <is>
          <t>総計</t>
        </is>
      </c>
      <c r="B114" s="225" t="n">
        <v>33600</v>
      </c>
      <c r="C114" s="225" t="n">
        <v>7630</v>
      </c>
      <c r="D114" s="225" t="n">
        <v>0.2270833333333333</v>
      </c>
      <c r="E114" s="225" t="n">
        <v>1</v>
      </c>
      <c r="F114" s="225" t="n">
        <v>1</v>
      </c>
      <c r="G114" s="225" t="n">
        <v>0.3333333333333333</v>
      </c>
    </row>
    <row r="115">
      <c r="A115" s="160" t="inlineStr">
        <is>
          <t>年間総計</t>
        </is>
      </c>
      <c r="B115" s="225" t="n">
        <v>67200</v>
      </c>
      <c r="C115" s="225" t="n">
        <v>32489</v>
      </c>
      <c r="D115" s="225" t="n">
        <v>0.4834672619047619</v>
      </c>
      <c r="E115" s="225" t="n">
        <v>1</v>
      </c>
      <c r="F115" s="225" t="n">
        <v>1</v>
      </c>
      <c r="G115" s="225" t="n">
        <v>0.8</v>
      </c>
    </row>
    <row r="116">
      <c r="A116" s="161" t="inlineStr">
        <is>
          <t>総計</t>
        </is>
      </c>
      <c r="B116" s="225" t="n">
        <v>67200</v>
      </c>
      <c r="C116" s="225" t="n">
        <v>32489</v>
      </c>
      <c r="D116" s="225" t="n">
        <v>0.4834672619047619</v>
      </c>
      <c r="E116" s="225" t="n">
        <v>1</v>
      </c>
      <c r="F116" s="225" t="n">
        <v>1</v>
      </c>
      <c r="G116" s="225" t="n">
        <v>0.8</v>
      </c>
    </row>
    <row r="117">
      <c r="A117" s="160" t="inlineStr">
        <is>
          <t>総計</t>
        </is>
      </c>
      <c r="B117" s="225" t="n">
        <v>67200</v>
      </c>
      <c r="C117" s="225" t="n">
        <v>32489</v>
      </c>
      <c r="D117" s="225" t="n">
        <v>5.801607142857143</v>
      </c>
      <c r="E117" s="225" t="n">
        <v>8</v>
      </c>
      <c r="F117" s="225" t="n">
        <v>12</v>
      </c>
      <c r="G117" s="225" t="n">
        <v>9.6</v>
      </c>
    </row>
    <row r="118">
      <c r="A118" s="161" t="inlineStr">
        <is>
          <t>10月</t>
        </is>
      </c>
      <c r="B118" s="225" t="n">
        <v>5600</v>
      </c>
      <c r="C118" s="225" t="n">
        <v>3505</v>
      </c>
      <c r="D118" s="225" t="n">
        <v>0.6258928571428571</v>
      </c>
      <c r="E118" s="225" t="n">
        <v>1</v>
      </c>
      <c r="F118" s="225" t="n">
        <v>1</v>
      </c>
      <c r="G118" s="225" t="n">
        <v>1.033333333333333</v>
      </c>
    </row>
    <row r="119">
      <c r="A119" s="161" t="inlineStr">
        <is>
          <t>11月</t>
        </is>
      </c>
      <c r="B119" s="225" t="n">
        <v>5600</v>
      </c>
      <c r="C119" s="225" t="n">
        <v>4125</v>
      </c>
      <c r="D119" s="225" t="n">
        <v>0.7366071428571429</v>
      </c>
      <c r="E119" s="225" t="n">
        <v>1</v>
      </c>
      <c r="F119" s="225" t="n">
        <v>1</v>
      </c>
      <c r="G119" s="225" t="n">
        <v>0.9666666666666667</v>
      </c>
    </row>
    <row r="120">
      <c r="A120" s="161" t="inlineStr">
        <is>
          <t>12月</t>
        </is>
      </c>
      <c r="B120" s="225" t="n">
        <v>5600</v>
      </c>
      <c r="C120" s="225" t="n">
        <v>0</v>
      </c>
      <c r="D120" s="225" t="n">
        <v>0</v>
      </c>
      <c r="E120" s="225" t="n"/>
      <c r="F120" s="225" t="n">
        <v>1</v>
      </c>
      <c r="G120" s="225" t="n">
        <v>0</v>
      </c>
    </row>
    <row r="121">
      <c r="A121" s="161" t="inlineStr">
        <is>
          <t>1月</t>
        </is>
      </c>
      <c r="B121" s="225" t="n">
        <v>5600</v>
      </c>
      <c r="C121" s="225" t="n">
        <v>0</v>
      </c>
      <c r="D121" s="225" t="n">
        <v>0</v>
      </c>
      <c r="E121" s="225" t="n"/>
      <c r="F121" s="225" t="n">
        <v>1</v>
      </c>
      <c r="G121" s="225" t="n">
        <v>0</v>
      </c>
    </row>
    <row r="122">
      <c r="A122" s="161" t="inlineStr">
        <is>
          <t>2月</t>
        </is>
      </c>
      <c r="B122" s="225" t="n">
        <v>5600</v>
      </c>
      <c r="C122" s="225" t="n">
        <v>0</v>
      </c>
      <c r="D122" s="225" t="n">
        <v>0</v>
      </c>
      <c r="E122" s="225" t="n"/>
      <c r="F122" s="225" t="n">
        <v>1</v>
      </c>
      <c r="G122" s="225" t="n">
        <v>0</v>
      </c>
    </row>
    <row r="123">
      <c r="A123" s="161" t="inlineStr">
        <is>
          <t>3月</t>
        </is>
      </c>
      <c r="B123" s="225" t="n">
        <v>5600</v>
      </c>
      <c r="C123" s="225" t="n">
        <v>0</v>
      </c>
      <c r="D123" s="225" t="n">
        <v>0</v>
      </c>
      <c r="E123" s="225" t="n"/>
      <c r="F123" s="225" t="n">
        <v>1</v>
      </c>
      <c r="G123" s="225" t="n">
        <v>0</v>
      </c>
    </row>
    <row r="124">
      <c r="A124" s="161" t="inlineStr">
        <is>
          <t>4月</t>
        </is>
      </c>
      <c r="B124" s="225" t="n">
        <v>5600</v>
      </c>
      <c r="C124" s="225" t="n">
        <v>3650</v>
      </c>
      <c r="D124" s="225" t="n">
        <v>0.6517857142857143</v>
      </c>
      <c r="E124" s="225" t="n">
        <v>1</v>
      </c>
      <c r="F124" s="225" t="n">
        <v>1</v>
      </c>
      <c r="G124" s="225" t="n">
        <v>1.333333333333333</v>
      </c>
    </row>
    <row r="125">
      <c r="A125" s="161" t="inlineStr">
        <is>
          <t>5月</t>
        </is>
      </c>
      <c r="B125" s="225" t="n">
        <v>5600</v>
      </c>
      <c r="C125" s="225" t="n">
        <v>5135</v>
      </c>
      <c r="D125" s="225" t="n">
        <v>0.9169642857142857</v>
      </c>
      <c r="E125" s="225" t="n">
        <v>1</v>
      </c>
      <c r="F125" s="225" t="n">
        <v>1</v>
      </c>
      <c r="G125" s="225" t="n">
        <v>1.4</v>
      </c>
    </row>
    <row r="126">
      <c r="A126" s="161" t="inlineStr">
        <is>
          <t>6月</t>
        </is>
      </c>
      <c r="B126" s="225" t="n">
        <v>5600</v>
      </c>
      <c r="C126" s="225" t="n">
        <v>5435</v>
      </c>
      <c r="D126" s="225" t="n">
        <v>0.9705357142857143</v>
      </c>
      <c r="E126" s="225" t="n">
        <v>1</v>
      </c>
      <c r="F126" s="225" t="n">
        <v>1</v>
      </c>
      <c r="G126" s="225" t="n">
        <v>1.466666666666667</v>
      </c>
    </row>
    <row r="127">
      <c r="A127" s="161" t="inlineStr">
        <is>
          <t>7月</t>
        </is>
      </c>
      <c r="B127" s="225" t="n">
        <v>5600</v>
      </c>
      <c r="C127" s="225" t="n">
        <v>3185</v>
      </c>
      <c r="D127" s="225" t="n">
        <v>0.56875</v>
      </c>
      <c r="E127" s="225" t="n">
        <v>1</v>
      </c>
      <c r="F127" s="225" t="n">
        <v>1</v>
      </c>
      <c r="G127" s="225" t="n">
        <v>0.5666666666666667</v>
      </c>
    </row>
    <row r="128">
      <c r="A128" s="161" t="inlineStr">
        <is>
          <t>8月</t>
        </is>
      </c>
      <c r="B128" s="225" t="n">
        <v>5600</v>
      </c>
      <c r="C128" s="225" t="n">
        <v>3739</v>
      </c>
      <c r="D128" s="225" t="n">
        <v>0.6676785714285715</v>
      </c>
      <c r="E128" s="225" t="n">
        <v>1</v>
      </c>
      <c r="F128" s="225" t="n">
        <v>1</v>
      </c>
      <c r="G128" s="225" t="n">
        <v>1.533333333333333</v>
      </c>
    </row>
    <row r="129">
      <c r="A129" s="161" t="inlineStr">
        <is>
          <t>9月</t>
        </is>
      </c>
      <c r="B129" s="225" t="n">
        <v>5600</v>
      </c>
      <c r="C129" s="225" t="n">
        <v>3715</v>
      </c>
      <c r="D129" s="225" t="n">
        <v>0.6633928571428571</v>
      </c>
      <c r="E129" s="225" t="n">
        <v>1</v>
      </c>
      <c r="F129" s="225" t="n">
        <v>1</v>
      </c>
      <c r="G129" s="225" t="n">
        <v>1.3</v>
      </c>
    </row>
    <row r="130">
      <c r="A130" s="157" t="inlineStr">
        <is>
          <t>試験対策</t>
        </is>
      </c>
      <c r="B130" s="225" t="n">
        <v>2800</v>
      </c>
      <c r="C130" s="225" t="n">
        <v>1238</v>
      </c>
      <c r="D130" s="225" t="n">
        <v>2.2425</v>
      </c>
      <c r="E130" s="225" t="n">
        <v>8</v>
      </c>
      <c r="F130" s="225" t="n">
        <v>11</v>
      </c>
      <c r="G130" s="225" t="n"/>
    </row>
    <row r="131">
      <c r="A131" s="160" t="inlineStr">
        <is>
          <t>ビルクリーン</t>
        </is>
      </c>
      <c r="B131" s="225" t="n">
        <v>2800</v>
      </c>
      <c r="C131" s="225" t="n">
        <v>1238</v>
      </c>
      <c r="D131" s="225" t="n">
        <v>2.2425</v>
      </c>
      <c r="E131" s="225" t="n">
        <v>8</v>
      </c>
      <c r="F131" s="225" t="n">
        <v>11</v>
      </c>
      <c r="G131" s="225" t="n"/>
    </row>
    <row r="132">
      <c r="A132" s="161" t="inlineStr">
        <is>
          <t>10月</t>
        </is>
      </c>
      <c r="B132" s="225" t="n">
        <v>400</v>
      </c>
      <c r="C132" s="225" t="n">
        <v>107</v>
      </c>
      <c r="D132" s="225" t="n">
        <v>0.2675</v>
      </c>
      <c r="E132" s="225" t="n">
        <v>1</v>
      </c>
      <c r="F132" s="225" t="n">
        <v>1</v>
      </c>
      <c r="G132" s="225" t="n"/>
    </row>
    <row r="133">
      <c r="A133" s="161" t="inlineStr">
        <is>
          <t>11月</t>
        </is>
      </c>
      <c r="B133" s="225" t="n">
        <v>400</v>
      </c>
      <c r="C133" s="225" t="n">
        <v>435</v>
      </c>
      <c r="D133" s="225" t="n">
        <v>1.0875</v>
      </c>
      <c r="E133" s="225" t="n">
        <v>1</v>
      </c>
      <c r="F133" s="225" t="n">
        <v>1</v>
      </c>
      <c r="G133" s="225" t="n"/>
    </row>
    <row r="134">
      <c r="A134" s="161" t="inlineStr">
        <is>
          <t>12月</t>
        </is>
      </c>
      <c r="B134" s="225" t="n">
        <v>0</v>
      </c>
      <c r="C134" s="225" t="n"/>
      <c r="D134" s="225" t="n">
        <v>0</v>
      </c>
      <c r="E134" s="225" t="n"/>
      <c r="F134" s="225" t="n">
        <v>1</v>
      </c>
      <c r="G134" s="225" t="n"/>
    </row>
    <row r="135">
      <c r="A135" s="161" t="inlineStr">
        <is>
          <t>1月</t>
        </is>
      </c>
      <c r="B135" s="225" t="n">
        <v>400</v>
      </c>
      <c r="C135" s="225" t="n">
        <v>0</v>
      </c>
      <c r="D135" s="225" t="n">
        <v>0</v>
      </c>
      <c r="E135" s="225" t="n"/>
      <c r="F135" s="225" t="n">
        <v>1</v>
      </c>
      <c r="G135" s="225" t="n"/>
    </row>
    <row r="136">
      <c r="A136" s="161" t="inlineStr">
        <is>
          <t>2月</t>
        </is>
      </c>
      <c r="B136" s="225" t="n">
        <v>0</v>
      </c>
      <c r="C136" s="225" t="n">
        <v>0</v>
      </c>
      <c r="D136" s="225" t="n">
        <v>0</v>
      </c>
      <c r="E136" s="225" t="n"/>
      <c r="F136" s="225" t="n"/>
      <c r="G136" s="225" t="n"/>
    </row>
    <row r="137">
      <c r="A137" s="161" t="inlineStr">
        <is>
          <t>3月</t>
        </is>
      </c>
      <c r="B137" s="225" t="n">
        <v>400</v>
      </c>
      <c r="C137" s="225" t="n">
        <v>0</v>
      </c>
      <c r="D137" s="225" t="n">
        <v>0</v>
      </c>
      <c r="E137" s="225" t="n"/>
      <c r="F137" s="225" t="n">
        <v>1</v>
      </c>
      <c r="G137" s="225" t="n"/>
    </row>
    <row r="138">
      <c r="A138" s="161" t="inlineStr">
        <is>
          <t>4月</t>
        </is>
      </c>
      <c r="B138" s="225" t="n">
        <v>0</v>
      </c>
      <c r="C138" s="225" t="n">
        <v>88</v>
      </c>
      <c r="D138" s="225" t="n">
        <v>0</v>
      </c>
      <c r="E138" s="225" t="n">
        <v>1</v>
      </c>
      <c r="F138" s="225" t="n">
        <v>1</v>
      </c>
      <c r="G138" s="225" t="n"/>
    </row>
    <row r="139">
      <c r="A139" s="161" t="inlineStr">
        <is>
          <t>5月</t>
        </is>
      </c>
      <c r="B139" s="225" t="n">
        <v>400</v>
      </c>
      <c r="C139" s="225" t="n">
        <v>149</v>
      </c>
      <c r="D139" s="225" t="n">
        <v>0.3725</v>
      </c>
      <c r="E139" s="225" t="n">
        <v>1</v>
      </c>
      <c r="F139" s="225" t="n">
        <v>1</v>
      </c>
      <c r="G139" s="225" t="n"/>
    </row>
    <row r="140">
      <c r="A140" s="161" t="inlineStr">
        <is>
          <t>6月</t>
        </is>
      </c>
      <c r="B140" s="225" t="n">
        <v>0</v>
      </c>
      <c r="C140" s="225" t="n">
        <v>67</v>
      </c>
      <c r="D140" s="225" t="n">
        <v>0</v>
      </c>
      <c r="E140" s="225" t="n">
        <v>1</v>
      </c>
      <c r="F140" s="225" t="n">
        <v>1</v>
      </c>
      <c r="G140" s="225" t="n"/>
    </row>
    <row r="141">
      <c r="A141" s="161" t="inlineStr">
        <is>
          <t>7月</t>
        </is>
      </c>
      <c r="B141" s="225" t="n">
        <v>400</v>
      </c>
      <c r="C141" s="225" t="n">
        <v>124</v>
      </c>
      <c r="D141" s="225" t="n">
        <v>0.31</v>
      </c>
      <c r="E141" s="225" t="n">
        <v>1</v>
      </c>
      <c r="F141" s="225" t="n">
        <v>1</v>
      </c>
      <c r="G141" s="225" t="n"/>
    </row>
    <row r="142">
      <c r="A142" s="161" t="inlineStr">
        <is>
          <t>8月</t>
        </is>
      </c>
      <c r="B142" s="225" t="n">
        <v>0</v>
      </c>
      <c r="C142" s="225" t="n">
        <v>186</v>
      </c>
      <c r="D142" s="225" t="n">
        <v>0</v>
      </c>
      <c r="E142" s="225" t="n">
        <v>1</v>
      </c>
      <c r="F142" s="225" t="n">
        <v>1</v>
      </c>
      <c r="G142" s="225" t="n"/>
    </row>
    <row r="143">
      <c r="A143" s="161" t="inlineStr">
        <is>
          <t>9月</t>
        </is>
      </c>
      <c r="B143" s="225" t="n">
        <v>400</v>
      </c>
      <c r="C143" s="225" t="n">
        <v>82</v>
      </c>
      <c r="D143" s="225" t="n">
        <v>0.205</v>
      </c>
      <c r="E143" s="225" t="n">
        <v>1</v>
      </c>
      <c r="F143" s="225" t="n">
        <v>1</v>
      </c>
      <c r="G143" s="225" t="n"/>
    </row>
    <row r="144">
      <c r="A144" s="160" t="inlineStr">
        <is>
          <t>外食</t>
        </is>
      </c>
      <c r="B144" s="225" t="n">
        <v>0</v>
      </c>
      <c r="C144" s="225" t="n">
        <v>0</v>
      </c>
      <c r="D144" s="225" t="n">
        <v>0</v>
      </c>
      <c r="E144" s="225" t="n"/>
      <c r="F144" s="225" t="n"/>
      <c r="G144" s="225" t="n"/>
    </row>
    <row r="145">
      <c r="A145" s="161" t="inlineStr">
        <is>
          <t>10月</t>
        </is>
      </c>
      <c r="B145" s="225" t="n">
        <v>0</v>
      </c>
      <c r="C145" s="225" t="n">
        <v>0</v>
      </c>
      <c r="D145" s="225" t="n">
        <v>0</v>
      </c>
      <c r="E145" s="225" t="n"/>
      <c r="F145" s="225" t="n"/>
      <c r="G145" s="225" t="n"/>
    </row>
    <row r="146">
      <c r="A146" s="161" t="inlineStr">
        <is>
          <t>11月</t>
        </is>
      </c>
      <c r="B146" s="225" t="n">
        <v>0</v>
      </c>
      <c r="C146" s="225" t="n">
        <v>0</v>
      </c>
      <c r="D146" s="225" t="n">
        <v>0</v>
      </c>
      <c r="E146" s="225" t="n"/>
      <c r="F146" s="225" t="n"/>
      <c r="G146" s="225" t="n"/>
    </row>
    <row r="147">
      <c r="A147" s="161" t="inlineStr">
        <is>
          <t>12月</t>
        </is>
      </c>
      <c r="B147" s="225" t="n">
        <v>0</v>
      </c>
      <c r="C147" s="225" t="n"/>
      <c r="D147" s="225" t="n">
        <v>0</v>
      </c>
      <c r="E147" s="225" t="n"/>
      <c r="F147" s="225" t="n"/>
      <c r="G147" s="225" t="n"/>
    </row>
    <row r="148">
      <c r="A148" s="161" t="inlineStr">
        <is>
          <t>1月</t>
        </is>
      </c>
      <c r="B148" s="225" t="n">
        <v>0</v>
      </c>
      <c r="C148" s="225" t="n"/>
      <c r="D148" s="225" t="n">
        <v>0</v>
      </c>
      <c r="E148" s="225" t="n"/>
      <c r="F148" s="225" t="n"/>
      <c r="G148" s="225" t="n"/>
    </row>
    <row r="149">
      <c r="A149" s="161" t="inlineStr">
        <is>
          <t>2月</t>
        </is>
      </c>
      <c r="B149" s="225" t="n">
        <v>0</v>
      </c>
      <c r="C149" s="225" t="n"/>
      <c r="D149" s="225" t="n">
        <v>0</v>
      </c>
      <c r="E149" s="225" t="n"/>
      <c r="F149" s="225" t="n"/>
      <c r="G149" s="225" t="n"/>
    </row>
    <row r="150">
      <c r="A150" s="161" t="inlineStr">
        <is>
          <t>3月</t>
        </is>
      </c>
      <c r="B150" s="225" t="n">
        <v>0</v>
      </c>
      <c r="C150" s="225" t="n"/>
      <c r="D150" s="225" t="n">
        <v>0</v>
      </c>
      <c r="E150" s="225" t="n"/>
      <c r="F150" s="225" t="n"/>
      <c r="G150" s="225" t="n"/>
    </row>
    <row r="151">
      <c r="A151" s="161" t="inlineStr">
        <is>
          <t>4月</t>
        </is>
      </c>
      <c r="B151" s="225" t="n">
        <v>0</v>
      </c>
      <c r="C151" s="225" t="n">
        <v>0</v>
      </c>
      <c r="D151" s="225" t="n">
        <v>0</v>
      </c>
      <c r="E151" s="225" t="n"/>
      <c r="F151" s="225" t="n"/>
      <c r="G151" s="225" t="n"/>
    </row>
    <row r="152">
      <c r="A152" s="161" t="inlineStr">
        <is>
          <t>5月</t>
        </is>
      </c>
      <c r="B152" s="225" t="n">
        <v>0</v>
      </c>
      <c r="C152" s="225" t="n">
        <v>0</v>
      </c>
      <c r="D152" s="225" t="n">
        <v>0</v>
      </c>
      <c r="E152" s="225" t="n"/>
      <c r="F152" s="225" t="n"/>
      <c r="G152" s="225" t="n"/>
    </row>
    <row r="153">
      <c r="A153" s="161" t="inlineStr">
        <is>
          <t>6月</t>
        </is>
      </c>
      <c r="B153" s="225" t="n">
        <v>0</v>
      </c>
      <c r="C153" s="225" t="n">
        <v>0</v>
      </c>
      <c r="D153" s="225" t="n">
        <v>0</v>
      </c>
      <c r="E153" s="225" t="n"/>
      <c r="F153" s="225" t="n"/>
      <c r="G153" s="225" t="n"/>
    </row>
    <row r="154">
      <c r="A154" s="161" t="inlineStr">
        <is>
          <t>7月</t>
        </is>
      </c>
      <c r="B154" s="225" t="n">
        <v>0</v>
      </c>
      <c r="C154" s="225" t="n"/>
      <c r="D154" s="225" t="n">
        <v>0</v>
      </c>
      <c r="E154" s="225" t="n"/>
      <c r="F154" s="225" t="n"/>
      <c r="G154" s="225" t="n"/>
    </row>
    <row r="155">
      <c r="A155" s="161" t="inlineStr">
        <is>
          <t>8月</t>
        </is>
      </c>
      <c r="B155" s="225" t="n">
        <v>0</v>
      </c>
      <c r="C155" s="225" t="n"/>
      <c r="D155" s="225" t="n">
        <v>0</v>
      </c>
      <c r="E155" s="225" t="n"/>
      <c r="F155" s="225" t="n"/>
      <c r="G155" s="225" t="n"/>
    </row>
    <row r="156">
      <c r="A156" s="161" t="inlineStr">
        <is>
          <t>9月</t>
        </is>
      </c>
      <c r="B156" s="225" t="n">
        <v>0</v>
      </c>
      <c r="C156" s="225" t="n"/>
      <c r="D156" s="225" t="n">
        <v>0</v>
      </c>
      <c r="E156" s="225" t="n"/>
      <c r="F156" s="225" t="n"/>
      <c r="G156" s="225" t="n"/>
    </row>
    <row r="157">
      <c r="A157" s="160" t="inlineStr">
        <is>
          <t>宿泊</t>
        </is>
      </c>
      <c r="B157" s="225" t="n">
        <v>0</v>
      </c>
      <c r="C157" s="225" t="n">
        <v>0</v>
      </c>
      <c r="D157" s="225" t="n">
        <v>0</v>
      </c>
      <c r="E157" s="225" t="n"/>
      <c r="F157" s="225" t="n"/>
      <c r="G157" s="225" t="n"/>
    </row>
    <row r="158">
      <c r="A158" s="161" t="inlineStr">
        <is>
          <t>10月</t>
        </is>
      </c>
      <c r="B158" s="225" t="n">
        <v>0</v>
      </c>
      <c r="C158" s="225" t="n">
        <v>0</v>
      </c>
      <c r="D158" s="225" t="n">
        <v>0</v>
      </c>
      <c r="E158" s="225" t="n"/>
      <c r="F158" s="225" t="n"/>
      <c r="G158" s="225" t="n"/>
    </row>
    <row r="159">
      <c r="A159" s="161" t="inlineStr">
        <is>
          <t>11月</t>
        </is>
      </c>
      <c r="B159" s="225" t="n">
        <v>0</v>
      </c>
      <c r="C159" s="225" t="n">
        <v>0</v>
      </c>
      <c r="D159" s="225" t="n">
        <v>0</v>
      </c>
      <c r="E159" s="225" t="n"/>
      <c r="F159" s="225" t="n"/>
      <c r="G159" s="225" t="n"/>
    </row>
    <row r="160">
      <c r="A160" s="161" t="inlineStr">
        <is>
          <t>12月</t>
        </is>
      </c>
      <c r="B160" s="225" t="n">
        <v>0</v>
      </c>
      <c r="C160" s="225" t="n"/>
      <c r="D160" s="225" t="n">
        <v>0</v>
      </c>
      <c r="E160" s="225" t="n"/>
      <c r="F160" s="225" t="n"/>
      <c r="G160" s="225" t="n"/>
    </row>
    <row r="161">
      <c r="A161" s="161" t="inlineStr">
        <is>
          <t>1月</t>
        </is>
      </c>
      <c r="B161" s="225" t="n">
        <v>0</v>
      </c>
      <c r="C161" s="225" t="n"/>
      <c r="D161" s="225" t="n">
        <v>0</v>
      </c>
      <c r="E161" s="225" t="n"/>
      <c r="F161" s="225" t="n"/>
      <c r="G161" s="225" t="n"/>
    </row>
    <row r="162">
      <c r="A162" s="161" t="inlineStr">
        <is>
          <t>2月</t>
        </is>
      </c>
      <c r="B162" s="225" t="n">
        <v>0</v>
      </c>
      <c r="C162" s="225" t="n"/>
      <c r="D162" s="225" t="n">
        <v>0</v>
      </c>
      <c r="E162" s="225" t="n"/>
      <c r="F162" s="225" t="n"/>
      <c r="G162" s="225" t="n"/>
    </row>
    <row r="163">
      <c r="A163" s="161" t="inlineStr">
        <is>
          <t>3月</t>
        </is>
      </c>
      <c r="B163" s="225" t="n">
        <v>0</v>
      </c>
      <c r="C163" s="225" t="n"/>
      <c r="D163" s="225" t="n">
        <v>0</v>
      </c>
      <c r="E163" s="225" t="n"/>
      <c r="F163" s="225" t="n"/>
      <c r="G163" s="225" t="n"/>
    </row>
    <row r="164">
      <c r="A164" s="161" t="inlineStr">
        <is>
          <t>4月</t>
        </is>
      </c>
      <c r="B164" s="225" t="n">
        <v>0</v>
      </c>
      <c r="C164" s="225" t="n"/>
      <c r="D164" s="225" t="n">
        <v>0</v>
      </c>
      <c r="E164" s="225" t="n"/>
      <c r="F164" s="225" t="n"/>
      <c r="G164" s="225" t="n"/>
    </row>
    <row r="165">
      <c r="A165" s="161" t="inlineStr">
        <is>
          <t>5月</t>
        </is>
      </c>
      <c r="B165" s="225" t="n">
        <v>0</v>
      </c>
      <c r="C165" s="225" t="n">
        <v>0</v>
      </c>
      <c r="D165" s="225" t="n">
        <v>0</v>
      </c>
      <c r="E165" s="225" t="n"/>
      <c r="F165" s="225" t="n"/>
      <c r="G165" s="225" t="n"/>
    </row>
    <row r="166">
      <c r="A166" s="161" t="inlineStr">
        <is>
          <t>6月</t>
        </is>
      </c>
      <c r="B166" s="225" t="n">
        <v>0</v>
      </c>
      <c r="C166" s="225" t="n">
        <v>0</v>
      </c>
      <c r="D166" s="225" t="n">
        <v>0</v>
      </c>
      <c r="E166" s="225" t="n"/>
      <c r="F166" s="225" t="n"/>
      <c r="G166" s="225" t="n"/>
    </row>
    <row r="167">
      <c r="A167" s="161" t="inlineStr">
        <is>
          <t>7月</t>
        </is>
      </c>
      <c r="B167" s="225" t="n">
        <v>0</v>
      </c>
      <c r="C167" s="225" t="n"/>
      <c r="D167" s="225" t="n">
        <v>0</v>
      </c>
      <c r="E167" s="225" t="n"/>
      <c r="F167" s="225" t="n"/>
      <c r="G167" s="225" t="n"/>
    </row>
    <row r="168">
      <c r="A168" s="161" t="inlineStr">
        <is>
          <t>8月</t>
        </is>
      </c>
      <c r="B168" s="225" t="n">
        <v>0</v>
      </c>
      <c r="C168" s="225" t="n"/>
      <c r="D168" s="225" t="n">
        <v>0</v>
      </c>
      <c r="E168" s="225" t="n"/>
      <c r="F168" s="225" t="n"/>
      <c r="G168" s="225" t="n"/>
    </row>
    <row r="169">
      <c r="A169" s="161" t="inlineStr">
        <is>
          <t>9月</t>
        </is>
      </c>
      <c r="B169" s="225" t="n">
        <v>0</v>
      </c>
      <c r="C169" s="225" t="n"/>
      <c r="D169" s="225" t="n">
        <v>0</v>
      </c>
      <c r="E169" s="225" t="n"/>
      <c r="F169" s="225" t="n"/>
      <c r="G169" s="225" t="n"/>
    </row>
    <row r="170">
      <c r="A170" s="157" t="inlineStr">
        <is>
          <t>Grand Total</t>
        </is>
      </c>
      <c r="B170" s="225" t="n">
        <v>271600</v>
      </c>
      <c r="C170" s="225" t="n">
        <v>131194</v>
      </c>
      <c r="D170" s="225" t="n">
        <v>25.11895337301587</v>
      </c>
      <c r="E170" s="225" t="n">
        <v>61</v>
      </c>
      <c r="F170" s="225" t="n">
        <v>61</v>
      </c>
      <c r="G170" s="225" t="n">
        <v>12</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1:D32"/>
  <sheetViews>
    <sheetView workbookViewId="0">
      <selection activeCell="G29" sqref="G29"/>
    </sheetView>
  </sheetViews>
  <sheetFormatPr baseColWidth="8" defaultRowHeight="14.25"/>
  <cols>
    <col width="12.33203125" bestFit="1" customWidth="1" style="154" min="1" max="1"/>
    <col width="11.53125" bestFit="1" customWidth="1" style="154" min="2" max="3"/>
    <col width="13.9296875" bestFit="1" customWidth="1" style="154" min="4" max="4"/>
    <col width="11.53125" bestFit="1" customWidth="1" style="154" min="5" max="6"/>
  </cols>
  <sheetData>
    <row r="11">
      <c r="A11" s="156" t="inlineStr">
        <is>
          <t>Row Labels</t>
        </is>
      </c>
      <c r="B11" s="225" t="inlineStr">
        <is>
          <t>Sum of 実績</t>
        </is>
      </c>
    </row>
    <row r="12">
      <c r="A12" s="157" t="inlineStr">
        <is>
          <t>10月</t>
        </is>
      </c>
      <c r="B12" s="225" t="n">
        <v>7117</v>
      </c>
    </row>
    <row r="13">
      <c r="A13" s="157" t="inlineStr">
        <is>
          <t>11月</t>
        </is>
      </c>
      <c r="B13" s="225" t="n">
        <v>8685</v>
      </c>
    </row>
    <row r="14">
      <c r="A14" s="157" t="inlineStr">
        <is>
          <t>12月</t>
        </is>
      </c>
      <c r="B14" s="225" t="n">
        <v>0</v>
      </c>
    </row>
    <row r="15">
      <c r="A15" s="157" t="inlineStr">
        <is>
          <t>1月</t>
        </is>
      </c>
      <c r="B15" s="225" t="n">
        <v>0</v>
      </c>
    </row>
    <row r="16">
      <c r="A16" s="157" t="inlineStr">
        <is>
          <t>2月</t>
        </is>
      </c>
      <c r="B16" s="225" t="n">
        <v>0</v>
      </c>
    </row>
    <row r="17">
      <c r="A17" s="157" t="inlineStr">
        <is>
          <t>3月</t>
        </is>
      </c>
      <c r="B17" s="225" t="n">
        <v>0</v>
      </c>
    </row>
    <row r="18">
      <c r="A18" s="157" t="inlineStr">
        <is>
          <t>4月</t>
        </is>
      </c>
      <c r="B18" s="225" t="n">
        <v>7388</v>
      </c>
    </row>
    <row r="19">
      <c r="A19" s="157" t="inlineStr">
        <is>
          <t>5月</t>
        </is>
      </c>
      <c r="B19" s="225" t="n">
        <v>10419</v>
      </c>
    </row>
    <row r="20">
      <c r="A20" s="157" t="inlineStr">
        <is>
          <t>6月</t>
        </is>
      </c>
      <c r="B20" s="225" t="n">
        <v>10937</v>
      </c>
    </row>
    <row r="21">
      <c r="A21" s="157" t="inlineStr">
        <is>
          <t>7月</t>
        </is>
      </c>
      <c r="B21" s="225" t="n">
        <v>6494</v>
      </c>
    </row>
    <row r="22">
      <c r="A22" s="157" t="inlineStr">
        <is>
          <t>8月</t>
        </is>
      </c>
      <c r="B22" s="225" t="n">
        <v>7664</v>
      </c>
    </row>
    <row r="23">
      <c r="A23" s="157" t="inlineStr">
        <is>
          <t>9月</t>
        </is>
      </c>
      <c r="B23" s="225" t="n">
        <v>7512</v>
      </c>
    </row>
    <row r="24">
      <c r="A24" s="157" t="inlineStr">
        <is>
          <t>総計</t>
        </is>
      </c>
      <c r="B24" s="225" t="n">
        <v>64978</v>
      </c>
    </row>
    <row r="25">
      <c r="A25" s="157" t="inlineStr">
        <is>
          <t>Grand Total</t>
        </is>
      </c>
      <c r="B25" s="225" t="n">
        <v>131194</v>
      </c>
    </row>
    <row r="27">
      <c r="A27" s="156" t="inlineStr">
        <is>
          <t>Row Labels</t>
        </is>
      </c>
      <c r="B27" s="225" t="inlineStr">
        <is>
          <t>Sum of 目標</t>
        </is>
      </c>
      <c r="C27" s="225" t="inlineStr">
        <is>
          <t>Sum of 実績</t>
        </is>
      </c>
      <c r="D27" s="225" t="inlineStr">
        <is>
          <t>Sum of 達成率</t>
        </is>
      </c>
    </row>
    <row r="28">
      <c r="A28" s="157" t="inlineStr">
        <is>
          <t>内部</t>
        </is>
      </c>
      <c r="B28" s="225" t="n">
        <v>54000</v>
      </c>
      <c r="C28" s="225" t="n">
        <v>29790</v>
      </c>
      <c r="D28" s="225" t="n">
        <v>12.88666666666667</v>
      </c>
    </row>
    <row r="29">
      <c r="A29" s="157" t="inlineStr">
        <is>
          <t>外部</t>
        </is>
      </c>
      <c r="B29" s="225" t="n">
        <v>13200</v>
      </c>
      <c r="C29" s="225" t="n">
        <v>2699</v>
      </c>
      <c r="D29" s="225" t="n">
        <v>2.737777777777778</v>
      </c>
    </row>
    <row r="30">
      <c r="A30" s="157" t="inlineStr">
        <is>
          <t>外部小計</t>
        </is>
      </c>
      <c r="B30" s="225" t="n">
        <v>201600</v>
      </c>
      <c r="C30" s="225" t="n">
        <v>97467</v>
      </c>
      <c r="D30" s="225" t="n">
        <v>7.25200892857143</v>
      </c>
    </row>
    <row r="31">
      <c r="A31" s="157" t="inlineStr">
        <is>
          <t>試験対策</t>
        </is>
      </c>
      <c r="B31" s="225" t="n">
        <v>2800</v>
      </c>
      <c r="C31" s="225" t="n">
        <v>1238</v>
      </c>
      <c r="D31" s="225" t="n">
        <v>2.2425</v>
      </c>
    </row>
    <row r="32">
      <c r="A32" s="157" t="inlineStr">
        <is>
          <t>Grand Total</t>
        </is>
      </c>
      <c r="B32" s="225" t="n">
        <v>271600</v>
      </c>
      <c r="C32" s="225" t="n">
        <v>131194</v>
      </c>
      <c r="D32" s="225" t="n">
        <v>25.11895337301587</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S156"/>
  <sheetViews>
    <sheetView workbookViewId="0">
      <selection activeCell="H15" sqref="H15"/>
    </sheetView>
  </sheetViews>
  <sheetFormatPr baseColWidth="8" defaultRowHeight="14.25"/>
  <cols>
    <col width="13.796875" bestFit="1" customWidth="1" style="154" min="1" max="1"/>
    <col width="16.33203125" bestFit="1" customWidth="1" style="154" min="2" max="3"/>
    <col width="18.59765625" bestFit="1" customWidth="1" style="154" min="4" max="4"/>
    <col width="13.796875" bestFit="1" customWidth="1" style="154" min="12" max="12"/>
    <col width="11.53125" bestFit="1" customWidth="1" style="154" min="13" max="14"/>
    <col width="16.33203125" bestFit="1" customWidth="1" style="154" min="15" max="16"/>
  </cols>
  <sheetData>
    <row r="1">
      <c r="A1" s="158" t="inlineStr">
        <is>
          <t>カテゴリ</t>
        </is>
      </c>
      <c r="B1" s="158" t="inlineStr">
        <is>
          <t>サブカテゴリ</t>
        </is>
      </c>
      <c r="C1" s="158" t="inlineStr">
        <is>
          <t>月</t>
        </is>
      </c>
      <c r="D1" s="158" t="inlineStr">
        <is>
          <t>目標</t>
        </is>
      </c>
      <c r="E1" s="158" t="inlineStr">
        <is>
          <t>実績</t>
        </is>
      </c>
      <c r="F1" s="158" t="inlineStr">
        <is>
          <t>達成率</t>
        </is>
      </c>
      <c r="G1" s="158" t="inlineStr">
        <is>
          <t>人数目標</t>
        </is>
      </c>
      <c r="H1" s="158" t="inlineStr">
        <is>
          <t>人数実績</t>
        </is>
      </c>
      <c r="I1" s="158" t="inlineStr">
        <is>
          <t>人数達成率</t>
        </is>
      </c>
      <c r="J1" s="158" t="inlineStr">
        <is>
          <t>Period</t>
        </is>
      </c>
      <c r="K1" s="159" t="inlineStr">
        <is>
          <t>Unnamed: 10</t>
        </is>
      </c>
      <c r="L1" s="158" t="inlineStr">
        <is>
          <t>Unnamed: 11</t>
        </is>
      </c>
      <c r="M1" s="158" t="inlineStr">
        <is>
          <t>Unnamed: 12</t>
        </is>
      </c>
      <c r="N1" s="158" t="inlineStr">
        <is>
          <t>Unnamed: 13</t>
        </is>
      </c>
      <c r="O1" s="158" t="inlineStr">
        <is>
          <t>Unnamed: 14</t>
        </is>
      </c>
      <c r="P1" s="158" t="inlineStr">
        <is>
          <t>Unnamed: 15</t>
        </is>
      </c>
      <c r="Q1" s="158" t="inlineStr">
        <is>
          <t>Unnamed: 16</t>
        </is>
      </c>
      <c r="R1" s="159" t="inlineStr">
        <is>
          <t>Unnamed: 17</t>
        </is>
      </c>
      <c r="S1" s="158" t="inlineStr">
        <is>
          <t>Unnamed: 18</t>
        </is>
      </c>
    </row>
    <row r="2">
      <c r="A2" s="225" t="inlineStr">
        <is>
          <t>内部</t>
        </is>
      </c>
      <c r="B2" s="225" t="inlineStr">
        <is>
          <t>技人国</t>
        </is>
      </c>
      <c r="C2" s="225" t="inlineStr">
        <is>
          <t>4月</t>
        </is>
      </c>
      <c r="E2" s="225" t="n">
        <v>0</v>
      </c>
      <c r="F2" s="225" t="n">
        <v>0</v>
      </c>
      <c r="J2" s="225" t="inlineStr">
        <is>
          <t>上期</t>
        </is>
      </c>
    </row>
    <row r="3">
      <c r="A3" s="225" t="inlineStr">
        <is>
          <t>内部</t>
        </is>
      </c>
      <c r="B3" s="225" t="inlineStr">
        <is>
          <t>技人国</t>
        </is>
      </c>
      <c r="C3" s="225" t="inlineStr">
        <is>
          <t>5月</t>
        </is>
      </c>
      <c r="E3" s="225" t="n">
        <v>400</v>
      </c>
      <c r="F3" s="225" t="n">
        <v>0</v>
      </c>
      <c r="J3" s="225" t="inlineStr">
        <is>
          <t>上期</t>
        </is>
      </c>
    </row>
    <row r="4">
      <c r="A4" s="225" t="inlineStr">
        <is>
          <t>内部</t>
        </is>
      </c>
      <c r="B4" s="225" t="inlineStr">
        <is>
          <t>技人国</t>
        </is>
      </c>
      <c r="C4" s="225" t="inlineStr">
        <is>
          <t>6月</t>
        </is>
      </c>
      <c r="E4" s="225" t="n">
        <v>800</v>
      </c>
      <c r="F4" s="225" t="n">
        <v>0</v>
      </c>
      <c r="J4" s="225" t="inlineStr">
        <is>
          <t>上期</t>
        </is>
      </c>
    </row>
    <row r="5">
      <c r="A5" s="225" t="inlineStr">
        <is>
          <t>内部</t>
        </is>
      </c>
      <c r="B5" s="225" t="inlineStr">
        <is>
          <t>技人国</t>
        </is>
      </c>
      <c r="C5" s="225" t="inlineStr">
        <is>
          <t>7月</t>
        </is>
      </c>
      <c r="E5" s="225" t="n">
        <v>0</v>
      </c>
      <c r="F5" s="225" t="n">
        <v>0</v>
      </c>
      <c r="J5" s="225" t="inlineStr">
        <is>
          <t>上期</t>
        </is>
      </c>
    </row>
    <row r="6">
      <c r="A6" s="225" t="inlineStr">
        <is>
          <t>内部</t>
        </is>
      </c>
      <c r="B6" s="225" t="inlineStr">
        <is>
          <t>技人国</t>
        </is>
      </c>
      <c r="C6" s="225" t="inlineStr">
        <is>
          <t>8月</t>
        </is>
      </c>
      <c r="E6" s="225" t="n">
        <v>0</v>
      </c>
      <c r="F6" s="225" t="n">
        <v>0</v>
      </c>
      <c r="J6" s="225" t="inlineStr">
        <is>
          <t>上期</t>
        </is>
      </c>
    </row>
    <row r="7">
      <c r="A7" s="225" t="inlineStr">
        <is>
          <t>内部</t>
        </is>
      </c>
      <c r="B7" s="225" t="inlineStr">
        <is>
          <t>技人国</t>
        </is>
      </c>
      <c r="C7" s="225" t="inlineStr">
        <is>
          <t>9月</t>
        </is>
      </c>
      <c r="E7" s="225" t="n">
        <v>0</v>
      </c>
      <c r="F7" s="225" t="n">
        <v>0</v>
      </c>
      <c r="J7" s="225" t="inlineStr">
        <is>
          <t>上期</t>
        </is>
      </c>
    </row>
    <row r="8">
      <c r="A8" s="225" t="inlineStr">
        <is>
          <t>内部</t>
        </is>
      </c>
      <c r="B8" s="225" t="inlineStr">
        <is>
          <t>技人国</t>
        </is>
      </c>
      <c r="C8" s="225" t="inlineStr">
        <is>
          <t>10月</t>
        </is>
      </c>
      <c r="E8" s="225" t="n">
        <v>0</v>
      </c>
      <c r="F8" s="225" t="n">
        <v>0</v>
      </c>
      <c r="J8" s="225" t="inlineStr">
        <is>
          <t>下期</t>
        </is>
      </c>
    </row>
    <row r="9">
      <c r="A9" s="225" t="inlineStr">
        <is>
          <t>内部</t>
        </is>
      </c>
      <c r="B9" s="225" t="inlineStr">
        <is>
          <t>技人国</t>
        </is>
      </c>
      <c r="C9" s="225" t="inlineStr">
        <is>
          <t>11月</t>
        </is>
      </c>
      <c r="E9" s="225" t="n">
        <v>0</v>
      </c>
      <c r="F9" s="225" t="n">
        <v>0</v>
      </c>
      <c r="J9" s="225" t="inlineStr">
        <is>
          <t>下期</t>
        </is>
      </c>
    </row>
    <row r="10">
      <c r="A10" s="225" t="inlineStr">
        <is>
          <t>内部</t>
        </is>
      </c>
      <c r="B10" s="225" t="inlineStr">
        <is>
          <t>技人国</t>
        </is>
      </c>
      <c r="C10" s="225" t="inlineStr">
        <is>
          <t>12月</t>
        </is>
      </c>
      <c r="E10" s="225" t="n">
        <v>0</v>
      </c>
      <c r="F10" s="225" t="n">
        <v>0</v>
      </c>
      <c r="J10" s="225" t="inlineStr">
        <is>
          <t>下期</t>
        </is>
      </c>
    </row>
    <row r="11">
      <c r="A11" s="225" t="inlineStr">
        <is>
          <t>内部</t>
        </is>
      </c>
      <c r="B11" s="225" t="inlineStr">
        <is>
          <t>技人国</t>
        </is>
      </c>
      <c r="C11" s="225" t="inlineStr">
        <is>
          <t>1月</t>
        </is>
      </c>
      <c r="E11" s="225" t="n">
        <v>0</v>
      </c>
      <c r="F11" s="225" t="n">
        <v>0</v>
      </c>
      <c r="J11" s="225" t="inlineStr">
        <is>
          <t>下期</t>
        </is>
      </c>
    </row>
    <row r="12">
      <c r="A12" s="225" t="inlineStr">
        <is>
          <t>内部</t>
        </is>
      </c>
      <c r="B12" s="225" t="inlineStr">
        <is>
          <t>技人国</t>
        </is>
      </c>
      <c r="C12" s="225" t="inlineStr">
        <is>
          <t>2月</t>
        </is>
      </c>
      <c r="E12" s="225" t="n">
        <v>0</v>
      </c>
      <c r="F12" s="225" t="n">
        <v>0</v>
      </c>
      <c r="J12" s="225" t="inlineStr">
        <is>
          <t>下期</t>
        </is>
      </c>
    </row>
    <row r="13">
      <c r="A13" s="225" t="inlineStr">
        <is>
          <t>内部</t>
        </is>
      </c>
      <c r="B13" s="225" t="inlineStr">
        <is>
          <t>技人国</t>
        </is>
      </c>
      <c r="C13" s="225" t="inlineStr">
        <is>
          <t>3月</t>
        </is>
      </c>
      <c r="E13" s="225" t="n">
        <v>0</v>
      </c>
      <c r="F13" s="225" t="n">
        <v>0</v>
      </c>
      <c r="J13" s="225" t="inlineStr">
        <is>
          <t>下期</t>
        </is>
      </c>
    </row>
    <row r="14">
      <c r="A14" s="225" t="inlineStr">
        <is>
          <t>内部</t>
        </is>
      </c>
      <c r="B14" s="225" t="inlineStr">
        <is>
          <t>特定技能</t>
        </is>
      </c>
      <c r="C14" s="225" t="inlineStr">
        <is>
          <t>4月</t>
        </is>
      </c>
      <c r="D14" s="225" t="n">
        <v>3000</v>
      </c>
      <c r="E14" s="225" t="n">
        <v>800</v>
      </c>
      <c r="F14" s="225" t="n">
        <v>0.2666666666666667</v>
      </c>
      <c r="G14" s="225" t="n">
        <v>15</v>
      </c>
      <c r="H14" s="225" t="inlineStr">
        <is>
          <t>４</t>
        </is>
      </c>
      <c r="J14" s="225" t="inlineStr">
        <is>
          <t>上期</t>
        </is>
      </c>
    </row>
    <row r="15">
      <c r="A15" s="225" t="inlineStr">
        <is>
          <t>内部</t>
        </is>
      </c>
      <c r="B15" s="225" t="inlineStr">
        <is>
          <t>特定技能</t>
        </is>
      </c>
      <c r="C15" s="225" t="inlineStr">
        <is>
          <t>5月</t>
        </is>
      </c>
      <c r="D15" s="225" t="n">
        <v>3000</v>
      </c>
      <c r="E15" s="225" t="n">
        <v>2400</v>
      </c>
      <c r="F15" s="225" t="n">
        <v>0.8</v>
      </c>
      <c r="G15" s="225" t="n">
        <v>15</v>
      </c>
      <c r="H15" s="225" t="n">
        <v>12</v>
      </c>
      <c r="J15" s="225" t="inlineStr">
        <is>
          <t>上期</t>
        </is>
      </c>
    </row>
    <row r="16">
      <c r="A16" s="225" t="inlineStr">
        <is>
          <t>内部</t>
        </is>
      </c>
      <c r="B16" s="225" t="inlineStr">
        <is>
          <t>特定技能</t>
        </is>
      </c>
      <c r="C16" s="225" t="inlineStr">
        <is>
          <t>6月</t>
        </is>
      </c>
      <c r="D16" s="225" t="n">
        <v>3000</v>
      </c>
      <c r="E16" s="225" t="n">
        <v>2400</v>
      </c>
      <c r="F16" s="225" t="n">
        <v>0.8</v>
      </c>
      <c r="G16" s="225" t="n">
        <v>15</v>
      </c>
      <c r="H16" s="225" t="n">
        <v>12</v>
      </c>
      <c r="J16" s="225" t="inlineStr">
        <is>
          <t>上期</t>
        </is>
      </c>
    </row>
    <row r="17">
      <c r="A17" s="225" t="inlineStr">
        <is>
          <t>内部</t>
        </is>
      </c>
      <c r="B17" s="225" t="inlineStr">
        <is>
          <t>特定技能</t>
        </is>
      </c>
      <c r="C17" s="225" t="inlineStr">
        <is>
          <t>7月</t>
        </is>
      </c>
      <c r="D17" s="225" t="n">
        <v>3000</v>
      </c>
      <c r="E17" s="225" t="n">
        <v>1000</v>
      </c>
      <c r="F17" s="225" t="n">
        <v>0.3333333333333333</v>
      </c>
      <c r="G17" s="225" t="n">
        <v>15</v>
      </c>
      <c r="H17" s="225" t="inlineStr">
        <is>
          <t>５</t>
        </is>
      </c>
      <c r="J17" s="225" t="inlineStr">
        <is>
          <t>上期</t>
        </is>
      </c>
    </row>
    <row r="18">
      <c r="A18" s="225" t="inlineStr">
        <is>
          <t>内部</t>
        </is>
      </c>
      <c r="B18" s="225" t="inlineStr">
        <is>
          <t>特定技能</t>
        </is>
      </c>
      <c r="C18" s="225" t="inlineStr">
        <is>
          <t>8月</t>
        </is>
      </c>
      <c r="D18" s="225" t="n">
        <v>3000</v>
      </c>
      <c r="E18" s="225" t="n">
        <v>600</v>
      </c>
      <c r="F18" s="225" t="n">
        <v>0.2</v>
      </c>
      <c r="G18" s="225" t="n">
        <v>15</v>
      </c>
      <c r="H18" s="225" t="inlineStr">
        <is>
          <t>３</t>
        </is>
      </c>
      <c r="J18" s="225" t="inlineStr">
        <is>
          <t>上期</t>
        </is>
      </c>
    </row>
    <row r="19">
      <c r="A19" s="225" t="inlineStr">
        <is>
          <t>内部</t>
        </is>
      </c>
      <c r="B19" s="225" t="inlineStr">
        <is>
          <t>特定技能</t>
        </is>
      </c>
      <c r="C19" s="225" t="inlineStr">
        <is>
          <t>9月</t>
        </is>
      </c>
      <c r="D19" s="225" t="n">
        <v>3000</v>
      </c>
      <c r="E19" s="225" t="n">
        <v>1200</v>
      </c>
      <c r="F19" s="225" t="n">
        <v>0.4</v>
      </c>
      <c r="G19" s="225" t="n">
        <v>15</v>
      </c>
      <c r="H19" s="225" t="inlineStr">
        <is>
          <t>６</t>
        </is>
      </c>
      <c r="J19" s="225" t="inlineStr">
        <is>
          <t>上期</t>
        </is>
      </c>
    </row>
    <row r="20">
      <c r="A20" s="225" t="inlineStr">
        <is>
          <t>内部</t>
        </is>
      </c>
      <c r="B20" s="225" t="inlineStr">
        <is>
          <t>特定技能</t>
        </is>
      </c>
      <c r="C20" s="225" t="inlineStr">
        <is>
          <t>10月</t>
        </is>
      </c>
      <c r="D20" s="225" t="n">
        <v>3000</v>
      </c>
      <c r="E20" s="225" t="n">
        <v>800</v>
      </c>
      <c r="F20" s="225" t="n">
        <v>0.2666666666666667</v>
      </c>
      <c r="G20" s="225" t="n">
        <v>15</v>
      </c>
      <c r="H20" s="225" t="inlineStr">
        <is>
          <t>４</t>
        </is>
      </c>
      <c r="J20" s="225" t="inlineStr">
        <is>
          <t>下期</t>
        </is>
      </c>
    </row>
    <row r="21">
      <c r="A21" s="225" t="inlineStr">
        <is>
          <t>内部</t>
        </is>
      </c>
      <c r="B21" s="225" t="inlineStr">
        <is>
          <t>特定技能</t>
        </is>
      </c>
      <c r="C21" s="225" t="inlineStr">
        <is>
          <t>11月</t>
        </is>
      </c>
      <c r="D21" s="225" t="n">
        <v>3000</v>
      </c>
      <c r="E21" s="225" t="n">
        <v>1400</v>
      </c>
      <c r="F21" s="225" t="n">
        <v>0.4666666666666667</v>
      </c>
      <c r="G21" s="225" t="n">
        <v>15</v>
      </c>
      <c r="H21" s="225" t="inlineStr">
        <is>
          <t>７</t>
        </is>
      </c>
      <c r="J21" s="225" t="inlineStr">
        <is>
          <t>下期</t>
        </is>
      </c>
    </row>
    <row r="22">
      <c r="A22" s="225" t="inlineStr">
        <is>
          <t>内部</t>
        </is>
      </c>
      <c r="B22" s="225" t="inlineStr">
        <is>
          <t>特定技能</t>
        </is>
      </c>
      <c r="C22" s="225" t="inlineStr">
        <is>
          <t>12月</t>
        </is>
      </c>
      <c r="D22" s="225" t="n">
        <v>3000</v>
      </c>
      <c r="F22" s="225" t="n">
        <v>0</v>
      </c>
      <c r="G22" s="225" t="n">
        <v>15</v>
      </c>
      <c r="J22" s="225" t="inlineStr">
        <is>
          <t>下期</t>
        </is>
      </c>
    </row>
    <row r="23">
      <c r="A23" s="225" t="inlineStr">
        <is>
          <t>内部</t>
        </is>
      </c>
      <c r="B23" s="225" t="inlineStr">
        <is>
          <t>特定技能</t>
        </is>
      </c>
      <c r="C23" s="225" t="inlineStr">
        <is>
          <t>1月</t>
        </is>
      </c>
      <c r="D23" s="225" t="n">
        <v>3000</v>
      </c>
      <c r="F23" s="225" t="n">
        <v>0</v>
      </c>
      <c r="G23" s="225" t="n">
        <v>15</v>
      </c>
      <c r="J23" s="225" t="inlineStr">
        <is>
          <t>下期</t>
        </is>
      </c>
    </row>
    <row r="24">
      <c r="A24" s="225" t="inlineStr">
        <is>
          <t>内部</t>
        </is>
      </c>
      <c r="B24" s="225" t="inlineStr">
        <is>
          <t>特定技能</t>
        </is>
      </c>
      <c r="C24" s="225" t="inlineStr">
        <is>
          <t>2月</t>
        </is>
      </c>
      <c r="D24" s="225" t="n">
        <v>3000</v>
      </c>
      <c r="F24" s="225" t="n">
        <v>0</v>
      </c>
      <c r="G24" s="225" t="n">
        <v>15</v>
      </c>
      <c r="J24" s="225" t="inlineStr">
        <is>
          <t>下期</t>
        </is>
      </c>
    </row>
    <row r="25">
      <c r="A25" s="225" t="inlineStr">
        <is>
          <t>内部</t>
        </is>
      </c>
      <c r="B25" s="225" t="inlineStr">
        <is>
          <t>特定技能</t>
        </is>
      </c>
      <c r="C25" s="225" t="inlineStr">
        <is>
          <t>3月</t>
        </is>
      </c>
      <c r="D25" s="225" t="n">
        <v>3000</v>
      </c>
      <c r="F25" s="225" t="n">
        <v>0</v>
      </c>
      <c r="G25" s="225" t="n">
        <v>15</v>
      </c>
      <c r="J25" s="225" t="inlineStr">
        <is>
          <t>下期</t>
        </is>
      </c>
    </row>
    <row r="26">
      <c r="A26" s="225" t="inlineStr">
        <is>
          <t>内部</t>
        </is>
      </c>
      <c r="B26" s="225" t="inlineStr">
        <is>
          <t>アルバイト</t>
        </is>
      </c>
      <c r="C26" s="225" t="inlineStr">
        <is>
          <t>4月</t>
        </is>
      </c>
      <c r="E26" s="225" t="n">
        <v>720</v>
      </c>
      <c r="F26" s="225" t="n">
        <v>0</v>
      </c>
      <c r="H26" s="225" t="n">
        <v>24</v>
      </c>
      <c r="J26" s="225" t="inlineStr">
        <is>
          <t>上期</t>
        </is>
      </c>
    </row>
    <row r="27">
      <c r="A27" s="225" t="inlineStr">
        <is>
          <t>内部</t>
        </is>
      </c>
      <c r="B27" s="225" t="inlineStr">
        <is>
          <t>アルバイト</t>
        </is>
      </c>
      <c r="C27" s="225" t="inlineStr">
        <is>
          <t>5月</t>
        </is>
      </c>
      <c r="E27" s="225" t="n">
        <v>390</v>
      </c>
      <c r="F27" s="225" t="n">
        <v>0</v>
      </c>
      <c r="H27" s="225" t="n">
        <v>13</v>
      </c>
      <c r="J27" s="225" t="inlineStr">
        <is>
          <t>上期</t>
        </is>
      </c>
    </row>
    <row r="28">
      <c r="A28" s="225" t="inlineStr">
        <is>
          <t>内部</t>
        </is>
      </c>
      <c r="B28" s="225" t="inlineStr">
        <is>
          <t>アルバイト</t>
        </is>
      </c>
      <c r="C28" s="225" t="inlineStr">
        <is>
          <t>6月</t>
        </is>
      </c>
      <c r="E28" s="225" t="n">
        <v>450</v>
      </c>
      <c r="F28" s="225" t="n">
        <v>0</v>
      </c>
      <c r="H28" s="225" t="n">
        <v>15</v>
      </c>
      <c r="J28" s="225" t="inlineStr">
        <is>
          <t>上期</t>
        </is>
      </c>
    </row>
    <row r="29">
      <c r="A29" s="225" t="inlineStr">
        <is>
          <t>内部</t>
        </is>
      </c>
      <c r="B29" s="225" t="inlineStr">
        <is>
          <t>アルバイト</t>
        </is>
      </c>
      <c r="C29" s="225" t="inlineStr">
        <is>
          <t>7月</t>
        </is>
      </c>
      <c r="E29" s="225" t="n">
        <v>210</v>
      </c>
      <c r="F29" s="225" t="n">
        <v>0</v>
      </c>
      <c r="H29" s="225" t="inlineStr">
        <is>
          <t>７</t>
        </is>
      </c>
      <c r="J29" s="225" t="inlineStr">
        <is>
          <t>上期</t>
        </is>
      </c>
    </row>
    <row r="30">
      <c r="A30" s="225" t="inlineStr">
        <is>
          <t>内部</t>
        </is>
      </c>
      <c r="B30" s="225" t="inlineStr">
        <is>
          <t>アルバイト</t>
        </is>
      </c>
      <c r="C30" s="225" t="inlineStr">
        <is>
          <t>8月</t>
        </is>
      </c>
      <c r="E30" s="225" t="n">
        <v>870</v>
      </c>
      <c r="F30" s="225" t="n">
        <v>0</v>
      </c>
      <c r="H30" s="225" t="n">
        <v>29</v>
      </c>
      <c r="J30" s="225" t="inlineStr">
        <is>
          <t>上期</t>
        </is>
      </c>
    </row>
    <row r="31">
      <c r="A31" s="225" t="inlineStr">
        <is>
          <t>内部</t>
        </is>
      </c>
      <c r="B31" s="225" t="inlineStr">
        <is>
          <t>アルバイト</t>
        </is>
      </c>
      <c r="C31" s="225" t="inlineStr">
        <is>
          <t>9月</t>
        </is>
      </c>
      <c r="E31" s="225" t="n">
        <v>630</v>
      </c>
      <c r="F31" s="225" t="n">
        <v>0</v>
      </c>
      <c r="H31" s="225" t="n">
        <v>21</v>
      </c>
      <c r="J31" s="225" t="inlineStr">
        <is>
          <t>上期</t>
        </is>
      </c>
    </row>
    <row r="32">
      <c r="A32" s="225" t="inlineStr">
        <is>
          <t>内部</t>
        </is>
      </c>
      <c r="B32" s="225" t="inlineStr">
        <is>
          <t>アルバイト</t>
        </is>
      </c>
      <c r="C32" s="225" t="inlineStr">
        <is>
          <t>10月</t>
        </is>
      </c>
      <c r="E32" s="225" t="n">
        <v>390</v>
      </c>
      <c r="F32" s="225" t="n">
        <v>0</v>
      </c>
      <c r="H32" s="225" t="n">
        <v>13</v>
      </c>
      <c r="J32" s="225" t="inlineStr">
        <is>
          <t>下期</t>
        </is>
      </c>
    </row>
    <row r="33">
      <c r="A33" s="225" t="inlineStr">
        <is>
          <t>内部</t>
        </is>
      </c>
      <c r="B33" s="225" t="inlineStr">
        <is>
          <t>アルバイト</t>
        </is>
      </c>
      <c r="C33" s="225" t="inlineStr">
        <is>
          <t>11月</t>
        </is>
      </c>
      <c r="E33" s="225" t="n">
        <v>300</v>
      </c>
      <c r="F33" s="225" t="n">
        <v>0</v>
      </c>
      <c r="H33" s="225" t="n">
        <v>10</v>
      </c>
      <c r="J33" s="225" t="inlineStr">
        <is>
          <t>下期</t>
        </is>
      </c>
    </row>
    <row r="34">
      <c r="A34" s="225" t="inlineStr">
        <is>
          <t>内部</t>
        </is>
      </c>
      <c r="B34" s="225" t="inlineStr">
        <is>
          <t>アルバイト</t>
        </is>
      </c>
      <c r="C34" s="225" t="inlineStr">
        <is>
          <t>12月</t>
        </is>
      </c>
      <c r="F34" s="225" t="n">
        <v>0</v>
      </c>
      <c r="J34" s="225" t="inlineStr">
        <is>
          <t>下期</t>
        </is>
      </c>
    </row>
    <row r="35">
      <c r="A35" s="225" t="inlineStr">
        <is>
          <t>内部</t>
        </is>
      </c>
      <c r="B35" s="225" t="inlineStr">
        <is>
          <t>アルバイト</t>
        </is>
      </c>
      <c r="C35" s="225" t="inlineStr">
        <is>
          <t>1月</t>
        </is>
      </c>
      <c r="F35" s="225" t="n">
        <v>0</v>
      </c>
      <c r="J35" s="225" t="inlineStr">
        <is>
          <t>下期</t>
        </is>
      </c>
    </row>
    <row r="36">
      <c r="A36" s="225" t="inlineStr">
        <is>
          <t>内部</t>
        </is>
      </c>
      <c r="B36" s="225" t="inlineStr">
        <is>
          <t>アルバイト</t>
        </is>
      </c>
      <c r="C36" s="225" t="inlineStr">
        <is>
          <t>2月</t>
        </is>
      </c>
      <c r="F36" s="225" t="n">
        <v>0</v>
      </c>
      <c r="J36" s="225" t="inlineStr">
        <is>
          <t>下期</t>
        </is>
      </c>
    </row>
    <row r="37">
      <c r="A37" s="225" t="inlineStr">
        <is>
          <t>内部</t>
        </is>
      </c>
      <c r="B37" s="225" t="inlineStr">
        <is>
          <t>アルバイト</t>
        </is>
      </c>
      <c r="C37" s="225" t="inlineStr">
        <is>
          <t>3月</t>
        </is>
      </c>
      <c r="F37" s="225" t="n">
        <v>0</v>
      </c>
      <c r="J37" s="225" t="inlineStr">
        <is>
          <t>下期</t>
        </is>
      </c>
    </row>
    <row r="38">
      <c r="A38" s="225" t="inlineStr">
        <is>
          <t>内部</t>
        </is>
      </c>
      <c r="B38" s="225" t="inlineStr">
        <is>
          <t>支援人数</t>
        </is>
      </c>
      <c r="C38" s="225" t="inlineStr">
        <is>
          <t>4月</t>
        </is>
      </c>
      <c r="D38" s="225" t="n">
        <v>1500</v>
      </c>
      <c r="E38" s="225" t="n">
        <v>1600</v>
      </c>
      <c r="F38" s="225" t="n">
        <v>1.066666666666667</v>
      </c>
      <c r="G38" s="225" t="n">
        <v>15</v>
      </c>
      <c r="H38" s="225" t="n">
        <v>16</v>
      </c>
      <c r="J38" s="225" t="inlineStr">
        <is>
          <t>上期</t>
        </is>
      </c>
    </row>
    <row r="39">
      <c r="A39" s="225" t="inlineStr">
        <is>
          <t>内部</t>
        </is>
      </c>
      <c r="B39" s="225" t="inlineStr">
        <is>
          <t>支援人数</t>
        </is>
      </c>
      <c r="C39" s="225" t="inlineStr">
        <is>
          <t>5月</t>
        </is>
      </c>
      <c r="D39" s="225" t="n">
        <v>1500</v>
      </c>
      <c r="E39" s="225" t="n">
        <v>1680</v>
      </c>
      <c r="F39" s="225" t="n">
        <v>1.12</v>
      </c>
      <c r="G39" s="225" t="n">
        <v>15</v>
      </c>
      <c r="H39" s="225" t="n">
        <v>17</v>
      </c>
      <c r="J39" s="225" t="inlineStr">
        <is>
          <t>上期</t>
        </is>
      </c>
    </row>
    <row r="40">
      <c r="A40" s="225" t="inlineStr">
        <is>
          <t>内部</t>
        </is>
      </c>
      <c r="B40" s="225" t="inlineStr">
        <is>
          <t>支援人数</t>
        </is>
      </c>
      <c r="C40" s="225" t="inlineStr">
        <is>
          <t>6月</t>
        </is>
      </c>
      <c r="D40" s="225" t="n">
        <v>1500</v>
      </c>
      <c r="E40" s="225" t="n">
        <v>1690</v>
      </c>
      <c r="F40" s="225" t="n">
        <v>1.126666666666667</v>
      </c>
      <c r="G40" s="225" t="n">
        <v>15</v>
      </c>
      <c r="H40" s="225" t="n">
        <v>17</v>
      </c>
      <c r="J40" s="225" t="inlineStr">
        <is>
          <t>上期</t>
        </is>
      </c>
    </row>
    <row r="41">
      <c r="A41" s="225" t="inlineStr">
        <is>
          <t>内部</t>
        </is>
      </c>
      <c r="B41" s="225" t="inlineStr">
        <is>
          <t>支援人数</t>
        </is>
      </c>
      <c r="C41" s="225" t="inlineStr">
        <is>
          <t>7月</t>
        </is>
      </c>
      <c r="D41" s="225" t="n">
        <v>1500</v>
      </c>
      <c r="E41" s="225" t="n">
        <v>1730</v>
      </c>
      <c r="F41" s="225" t="n">
        <v>1.153333333333333</v>
      </c>
      <c r="G41" s="225" t="n">
        <v>15</v>
      </c>
      <c r="H41" s="225" t="n">
        <v>17</v>
      </c>
      <c r="J41" s="225" t="inlineStr">
        <is>
          <t>上期</t>
        </is>
      </c>
    </row>
    <row r="42">
      <c r="A42" s="225" t="inlineStr">
        <is>
          <t>内部</t>
        </is>
      </c>
      <c r="B42" s="225" t="inlineStr">
        <is>
          <t>支援人数</t>
        </is>
      </c>
      <c r="C42" s="225" t="inlineStr">
        <is>
          <t>8月</t>
        </is>
      </c>
      <c r="D42" s="225" t="n">
        <v>1500</v>
      </c>
      <c r="E42" s="225" t="n">
        <v>1770</v>
      </c>
      <c r="F42" s="225" t="n">
        <v>1.18</v>
      </c>
      <c r="G42" s="225" t="n">
        <v>15</v>
      </c>
      <c r="H42" s="225" t="n">
        <v>17</v>
      </c>
      <c r="J42" s="225" t="inlineStr">
        <is>
          <t>上期</t>
        </is>
      </c>
    </row>
    <row r="43">
      <c r="A43" s="225" t="inlineStr">
        <is>
          <t>内部</t>
        </is>
      </c>
      <c r="B43" s="225" t="inlineStr">
        <is>
          <t>支援人数</t>
        </is>
      </c>
      <c r="C43" s="225" t="inlineStr">
        <is>
          <t>9月</t>
        </is>
      </c>
      <c r="D43" s="225" t="n">
        <v>1500</v>
      </c>
      <c r="E43" s="225" t="n">
        <v>1800</v>
      </c>
      <c r="F43" s="225" t="n">
        <v>1.2</v>
      </c>
      <c r="G43" s="225" t="n">
        <v>15</v>
      </c>
      <c r="H43" s="225" t="n">
        <v>18</v>
      </c>
      <c r="J43" s="225" t="inlineStr">
        <is>
          <t>上期</t>
        </is>
      </c>
    </row>
    <row r="44">
      <c r="A44" s="225" t="inlineStr">
        <is>
          <t>内部</t>
        </is>
      </c>
      <c r="B44" s="225" t="inlineStr">
        <is>
          <t>支援人数</t>
        </is>
      </c>
      <c r="C44" s="225" t="inlineStr">
        <is>
          <t>10月</t>
        </is>
      </c>
      <c r="D44" s="225" t="n">
        <v>1500</v>
      </c>
      <c r="E44" s="225" t="n">
        <v>1830</v>
      </c>
      <c r="F44" s="225" t="n">
        <v>1.22</v>
      </c>
      <c r="G44" s="225" t="n">
        <v>15</v>
      </c>
      <c r="H44" s="225" t="n">
        <v>18</v>
      </c>
      <c r="J44" s="225" t="inlineStr">
        <is>
          <t>下期</t>
        </is>
      </c>
    </row>
    <row r="45">
      <c r="A45" s="225" t="inlineStr">
        <is>
          <t>内部</t>
        </is>
      </c>
      <c r="B45" s="225" t="inlineStr">
        <is>
          <t>支援人数</t>
        </is>
      </c>
      <c r="C45" s="225" t="inlineStr">
        <is>
          <t>11月</t>
        </is>
      </c>
      <c r="D45" s="225" t="n">
        <v>1500</v>
      </c>
      <c r="E45" s="225" t="n">
        <v>1930</v>
      </c>
      <c r="F45" s="225" t="n">
        <v>1.286666666666667</v>
      </c>
      <c r="G45" s="225" t="n">
        <v>15</v>
      </c>
      <c r="H45" s="225" t="n">
        <v>19</v>
      </c>
      <c r="J45" s="225" t="inlineStr">
        <is>
          <t>下期</t>
        </is>
      </c>
    </row>
    <row r="46">
      <c r="A46" s="225" t="inlineStr">
        <is>
          <t>内部</t>
        </is>
      </c>
      <c r="B46" s="225" t="inlineStr">
        <is>
          <t>支援人数</t>
        </is>
      </c>
      <c r="C46" s="225" t="inlineStr">
        <is>
          <t>12月</t>
        </is>
      </c>
      <c r="D46" s="225" t="n">
        <v>1500</v>
      </c>
      <c r="F46" s="225" t="n">
        <v>0</v>
      </c>
      <c r="G46" s="225" t="n">
        <v>15</v>
      </c>
      <c r="J46" s="225" t="inlineStr">
        <is>
          <t>下期</t>
        </is>
      </c>
    </row>
    <row r="47">
      <c r="A47" s="225" t="inlineStr">
        <is>
          <t>内部</t>
        </is>
      </c>
      <c r="B47" s="225" t="inlineStr">
        <is>
          <t>支援人数</t>
        </is>
      </c>
      <c r="C47" s="225" t="inlineStr">
        <is>
          <t>1月</t>
        </is>
      </c>
      <c r="D47" s="225" t="n">
        <v>1500</v>
      </c>
      <c r="F47" s="225" t="n">
        <v>0</v>
      </c>
      <c r="G47" s="225" t="n">
        <v>15</v>
      </c>
      <c r="J47" s="225" t="inlineStr">
        <is>
          <t>下期</t>
        </is>
      </c>
    </row>
    <row r="48">
      <c r="A48" s="225" t="inlineStr">
        <is>
          <t>内部</t>
        </is>
      </c>
      <c r="B48" s="225" t="inlineStr">
        <is>
          <t>支援人数</t>
        </is>
      </c>
      <c r="C48" s="225" t="inlineStr">
        <is>
          <t>2月</t>
        </is>
      </c>
      <c r="D48" s="225" t="n">
        <v>1500</v>
      </c>
      <c r="F48" s="225" t="n">
        <v>0</v>
      </c>
      <c r="G48" s="225" t="n">
        <v>15</v>
      </c>
      <c r="J48" s="225" t="inlineStr">
        <is>
          <t>下期</t>
        </is>
      </c>
    </row>
    <row r="49">
      <c r="A49" s="225" t="inlineStr">
        <is>
          <t>内部</t>
        </is>
      </c>
      <c r="B49" s="225" t="inlineStr">
        <is>
          <t>支援人数</t>
        </is>
      </c>
      <c r="C49" s="225" t="inlineStr">
        <is>
          <t>3月</t>
        </is>
      </c>
      <c r="D49" s="225" t="n">
        <v>1500</v>
      </c>
      <c r="F49" s="225" t="n">
        <v>0</v>
      </c>
      <c r="G49" s="225" t="n">
        <v>15</v>
      </c>
      <c r="J49" s="225" t="inlineStr">
        <is>
          <t>下期</t>
        </is>
      </c>
    </row>
    <row r="50">
      <c r="A50" s="225" t="inlineStr">
        <is>
          <t>外部</t>
        </is>
      </c>
      <c r="B50" s="225" t="inlineStr">
        <is>
          <t>技人国</t>
        </is>
      </c>
      <c r="C50" s="225" t="inlineStr">
        <is>
          <t>4月</t>
        </is>
      </c>
      <c r="D50" s="225" t="n">
        <v>900</v>
      </c>
      <c r="E50" s="225" t="n">
        <v>400</v>
      </c>
      <c r="F50" s="225" t="n">
        <v>0.4444444444444444</v>
      </c>
      <c r="J50" s="225" t="inlineStr">
        <is>
          <t>上期</t>
        </is>
      </c>
    </row>
    <row r="51">
      <c r="A51" s="225" t="inlineStr">
        <is>
          <t>外部</t>
        </is>
      </c>
      <c r="B51" s="225" t="inlineStr">
        <is>
          <t>技人国</t>
        </is>
      </c>
      <c r="C51" s="225" t="inlineStr">
        <is>
          <t>5月</t>
        </is>
      </c>
      <c r="D51" s="225" t="n">
        <v>900</v>
      </c>
      <c r="E51" s="225" t="n">
        <v>0</v>
      </c>
      <c r="F51" s="225" t="n">
        <v>0</v>
      </c>
      <c r="J51" s="225" t="inlineStr">
        <is>
          <t>上期</t>
        </is>
      </c>
    </row>
    <row r="52">
      <c r="A52" s="225" t="inlineStr">
        <is>
          <t>外部</t>
        </is>
      </c>
      <c r="B52" s="225" t="inlineStr">
        <is>
          <t>技人国</t>
        </is>
      </c>
      <c r="C52" s="225" t="inlineStr">
        <is>
          <t>6月</t>
        </is>
      </c>
      <c r="D52" s="225" t="n">
        <v>900</v>
      </c>
      <c r="E52" s="225" t="n">
        <v>0</v>
      </c>
      <c r="F52" s="225" t="n">
        <v>0</v>
      </c>
      <c r="J52" s="225" t="inlineStr">
        <is>
          <t>上期</t>
        </is>
      </c>
    </row>
    <row r="53">
      <c r="A53" s="225" t="inlineStr">
        <is>
          <t>外部</t>
        </is>
      </c>
      <c r="B53" s="225" t="inlineStr">
        <is>
          <t>技人国</t>
        </is>
      </c>
      <c r="C53" s="225" t="inlineStr">
        <is>
          <t>7月</t>
        </is>
      </c>
      <c r="D53" s="225" t="n">
        <v>900</v>
      </c>
      <c r="E53" s="225" t="n">
        <v>0</v>
      </c>
      <c r="F53" s="225" t="n">
        <v>0</v>
      </c>
      <c r="J53" s="225" t="inlineStr">
        <is>
          <t>上期</t>
        </is>
      </c>
    </row>
    <row r="54">
      <c r="A54" s="225" t="inlineStr">
        <is>
          <t>外部</t>
        </is>
      </c>
      <c r="B54" s="225" t="inlineStr">
        <is>
          <t>技人国</t>
        </is>
      </c>
      <c r="C54" s="225" t="inlineStr">
        <is>
          <t>8月</t>
        </is>
      </c>
      <c r="D54" s="225" t="n">
        <v>900</v>
      </c>
      <c r="E54" s="225" t="n">
        <v>414</v>
      </c>
      <c r="F54" s="225" t="n">
        <v>0.46</v>
      </c>
      <c r="J54" s="225" t="inlineStr">
        <is>
          <t>上期</t>
        </is>
      </c>
    </row>
    <row r="55">
      <c r="A55" s="225" t="inlineStr">
        <is>
          <t>外部</t>
        </is>
      </c>
      <c r="B55" s="225" t="inlineStr">
        <is>
          <t>技人国</t>
        </is>
      </c>
      <c r="C55" s="225" t="inlineStr">
        <is>
          <t>9月</t>
        </is>
      </c>
      <c r="D55" s="225" t="n">
        <v>900</v>
      </c>
      <c r="E55" s="225" t="n">
        <v>0</v>
      </c>
      <c r="F55" s="225" t="n">
        <v>0</v>
      </c>
      <c r="J55" s="225" t="inlineStr">
        <is>
          <t>上期</t>
        </is>
      </c>
    </row>
    <row r="56">
      <c r="A56" s="225" t="inlineStr">
        <is>
          <t>外部</t>
        </is>
      </c>
      <c r="B56" s="225" t="inlineStr">
        <is>
          <t>技人国</t>
        </is>
      </c>
      <c r="C56" s="225" t="inlineStr">
        <is>
          <t>10月</t>
        </is>
      </c>
      <c r="D56" s="225" t="n">
        <v>900</v>
      </c>
      <c r="E56" s="225" t="n">
        <v>400</v>
      </c>
      <c r="F56" s="225" t="n">
        <v>0.4444444444444444</v>
      </c>
      <c r="J56" s="225" t="inlineStr">
        <is>
          <t>下期</t>
        </is>
      </c>
    </row>
    <row r="57">
      <c r="A57" s="225" t="inlineStr">
        <is>
          <t>外部</t>
        </is>
      </c>
      <c r="B57" s="225" t="inlineStr">
        <is>
          <t>技人国</t>
        </is>
      </c>
      <c r="C57" s="225" t="inlineStr">
        <is>
          <t>11月</t>
        </is>
      </c>
      <c r="D57" s="225" t="n">
        <v>900</v>
      </c>
      <c r="E57" s="225" t="n">
        <v>350</v>
      </c>
      <c r="F57" s="225" t="n">
        <v>0.3888888888888889</v>
      </c>
      <c r="J57" s="225" t="inlineStr">
        <is>
          <t>下期</t>
        </is>
      </c>
    </row>
    <row r="58">
      <c r="A58" s="225" t="inlineStr">
        <is>
          <t>外部</t>
        </is>
      </c>
      <c r="B58" s="225" t="inlineStr">
        <is>
          <t>技人国</t>
        </is>
      </c>
      <c r="C58" s="225" t="inlineStr">
        <is>
          <t>12月</t>
        </is>
      </c>
      <c r="D58" s="225" t="n">
        <v>900</v>
      </c>
      <c r="F58" s="225" t="n">
        <v>0</v>
      </c>
      <c r="J58" s="225" t="inlineStr">
        <is>
          <t>下期</t>
        </is>
      </c>
    </row>
    <row r="59">
      <c r="A59" s="225" t="inlineStr">
        <is>
          <t>外部</t>
        </is>
      </c>
      <c r="B59" s="225" t="inlineStr">
        <is>
          <t>技人国</t>
        </is>
      </c>
      <c r="C59" s="225" t="inlineStr">
        <is>
          <t>1月</t>
        </is>
      </c>
      <c r="D59" s="225" t="n">
        <v>900</v>
      </c>
      <c r="F59" s="225" t="n">
        <v>0</v>
      </c>
      <c r="J59" s="225" t="inlineStr">
        <is>
          <t>下期</t>
        </is>
      </c>
    </row>
    <row r="60">
      <c r="A60" s="225" t="inlineStr">
        <is>
          <t>外部</t>
        </is>
      </c>
      <c r="B60" s="225" t="inlineStr">
        <is>
          <t>技人国</t>
        </is>
      </c>
      <c r="C60" s="225" t="inlineStr">
        <is>
          <t>2月</t>
        </is>
      </c>
      <c r="D60" s="225" t="n">
        <v>900</v>
      </c>
      <c r="F60" s="225" t="n">
        <v>0</v>
      </c>
      <c r="J60" s="225" t="inlineStr">
        <is>
          <t>下期</t>
        </is>
      </c>
    </row>
    <row r="61">
      <c r="A61" s="225" t="inlineStr">
        <is>
          <t>外部</t>
        </is>
      </c>
      <c r="B61" s="225" t="inlineStr">
        <is>
          <t>技人国</t>
        </is>
      </c>
      <c r="C61" s="225" t="inlineStr">
        <is>
          <t>3月</t>
        </is>
      </c>
      <c r="D61" s="225" t="n">
        <v>900</v>
      </c>
      <c r="F61" s="225" t="n">
        <v>0</v>
      </c>
      <c r="J61" s="225" t="inlineStr">
        <is>
          <t>下期</t>
        </is>
      </c>
    </row>
    <row r="62">
      <c r="A62" s="225" t="inlineStr">
        <is>
          <t>外部</t>
        </is>
      </c>
      <c r="B62" s="225" t="inlineStr">
        <is>
          <t>特定技能</t>
        </is>
      </c>
      <c r="C62" s="225" t="inlineStr">
        <is>
          <t>4月</t>
        </is>
      </c>
      <c r="D62" s="225" t="n">
        <v>200</v>
      </c>
      <c r="E62" s="225" t="n">
        <v>0</v>
      </c>
      <c r="F62" s="225" t="n">
        <v>0</v>
      </c>
      <c r="G62" s="225" t="inlineStr">
        <is>
          <t>１</t>
        </is>
      </c>
      <c r="H62" s="225" t="inlineStr">
        <is>
          <t>０</t>
        </is>
      </c>
      <c r="J62" s="225" t="inlineStr">
        <is>
          <t>上期</t>
        </is>
      </c>
    </row>
    <row r="63">
      <c r="A63" s="225" t="inlineStr">
        <is>
          <t>外部</t>
        </is>
      </c>
      <c r="B63" s="225" t="inlineStr">
        <is>
          <t>特定技能</t>
        </is>
      </c>
      <c r="C63" s="225" t="inlineStr">
        <is>
          <t>5月</t>
        </is>
      </c>
      <c r="D63" s="225" t="n">
        <v>200</v>
      </c>
      <c r="E63" s="225" t="n">
        <v>200</v>
      </c>
      <c r="F63" s="225" t="n">
        <v>1</v>
      </c>
      <c r="G63" s="225" t="inlineStr">
        <is>
          <t>１</t>
        </is>
      </c>
      <c r="H63" s="225" t="inlineStr">
        <is>
          <t>１</t>
        </is>
      </c>
      <c r="J63" s="225" t="inlineStr">
        <is>
          <t>上期</t>
        </is>
      </c>
    </row>
    <row r="64">
      <c r="A64" s="225" t="inlineStr">
        <is>
          <t>外部</t>
        </is>
      </c>
      <c r="B64" s="225" t="inlineStr">
        <is>
          <t>特定技能</t>
        </is>
      </c>
      <c r="C64" s="225" t="inlineStr">
        <is>
          <t>6月</t>
        </is>
      </c>
      <c r="D64" s="225" t="n">
        <v>200</v>
      </c>
      <c r="E64" s="225" t="n">
        <v>0</v>
      </c>
      <c r="F64" s="225" t="n">
        <v>0</v>
      </c>
      <c r="G64" s="225" t="inlineStr">
        <is>
          <t>１</t>
        </is>
      </c>
      <c r="H64" s="225" t="inlineStr">
        <is>
          <t>０</t>
        </is>
      </c>
      <c r="J64" s="225" t="inlineStr">
        <is>
          <t>上期</t>
        </is>
      </c>
    </row>
    <row r="65">
      <c r="A65" s="225" t="inlineStr">
        <is>
          <t>外部</t>
        </is>
      </c>
      <c r="B65" s="225" t="inlineStr">
        <is>
          <t>特定技能</t>
        </is>
      </c>
      <c r="C65" s="225" t="inlineStr">
        <is>
          <t>7月</t>
        </is>
      </c>
      <c r="D65" s="225" t="n">
        <v>200</v>
      </c>
      <c r="E65" s="225" t="n">
        <v>0</v>
      </c>
      <c r="F65" s="225" t="n">
        <v>0</v>
      </c>
      <c r="G65" s="225" t="inlineStr">
        <is>
          <t>１</t>
        </is>
      </c>
      <c r="H65" s="225" t="inlineStr">
        <is>
          <t>０</t>
        </is>
      </c>
      <c r="J65" s="225" t="inlineStr">
        <is>
          <t>上期</t>
        </is>
      </c>
    </row>
    <row r="66">
      <c r="A66" s="225" t="inlineStr">
        <is>
          <t>外部</t>
        </is>
      </c>
      <c r="B66" s="225" t="inlineStr">
        <is>
          <t>特定技能</t>
        </is>
      </c>
      <c r="C66" s="225" t="inlineStr">
        <is>
          <t>8月</t>
        </is>
      </c>
      <c r="D66" s="225" t="n">
        <v>200</v>
      </c>
      <c r="E66" s="225" t="n">
        <v>0</v>
      </c>
      <c r="F66" s="225" t="n">
        <v>0</v>
      </c>
      <c r="G66" s="225" t="inlineStr">
        <is>
          <t>１</t>
        </is>
      </c>
      <c r="H66" s="225" t="inlineStr">
        <is>
          <t>０</t>
        </is>
      </c>
      <c r="J66" s="225" t="inlineStr">
        <is>
          <t>上期</t>
        </is>
      </c>
    </row>
    <row r="67">
      <c r="A67" s="225" t="inlineStr">
        <is>
          <t>外部</t>
        </is>
      </c>
      <c r="B67" s="225" t="inlineStr">
        <is>
          <t>特定技能</t>
        </is>
      </c>
      <c r="C67" s="225" t="inlineStr">
        <is>
          <t>9月</t>
        </is>
      </c>
      <c r="D67" s="225" t="n">
        <v>200</v>
      </c>
      <c r="E67" s="225" t="n">
        <v>0</v>
      </c>
      <c r="F67" s="225" t="n">
        <v>0</v>
      </c>
      <c r="G67" s="225" t="inlineStr">
        <is>
          <t>１</t>
        </is>
      </c>
      <c r="H67" s="225" t="inlineStr">
        <is>
          <t>０</t>
        </is>
      </c>
      <c r="J67" s="225" t="inlineStr">
        <is>
          <t>上期</t>
        </is>
      </c>
    </row>
    <row r="68">
      <c r="A68" s="225" t="inlineStr">
        <is>
          <t>外部</t>
        </is>
      </c>
      <c r="B68" s="225" t="inlineStr">
        <is>
          <t>特定技能</t>
        </is>
      </c>
      <c r="C68" s="225" t="inlineStr">
        <is>
          <t>10月</t>
        </is>
      </c>
      <c r="D68" s="225" t="n">
        <v>200</v>
      </c>
      <c r="E68" s="225" t="n">
        <v>0</v>
      </c>
      <c r="F68" s="225" t="n">
        <v>0</v>
      </c>
      <c r="G68" s="225" t="inlineStr">
        <is>
          <t>１</t>
        </is>
      </c>
      <c r="J68" s="225" t="inlineStr">
        <is>
          <t>下期</t>
        </is>
      </c>
    </row>
    <row r="69">
      <c r="A69" s="225" t="inlineStr">
        <is>
          <t>外部</t>
        </is>
      </c>
      <c r="B69" s="225" t="inlineStr">
        <is>
          <t>特定技能</t>
        </is>
      </c>
      <c r="C69" s="225" t="inlineStr">
        <is>
          <t>11月</t>
        </is>
      </c>
      <c r="D69" s="225" t="n">
        <v>200</v>
      </c>
      <c r="E69" s="225" t="n">
        <v>0</v>
      </c>
      <c r="F69" s="225" t="n">
        <v>0</v>
      </c>
      <c r="G69" s="225" t="inlineStr">
        <is>
          <t>１</t>
        </is>
      </c>
      <c r="J69" s="225" t="inlineStr">
        <is>
          <t>下期</t>
        </is>
      </c>
    </row>
    <row r="70">
      <c r="A70" s="225" t="inlineStr">
        <is>
          <t>外部</t>
        </is>
      </c>
      <c r="B70" s="225" t="inlineStr">
        <is>
          <t>特定技能</t>
        </is>
      </c>
      <c r="C70" s="225" t="inlineStr">
        <is>
          <t>12月</t>
        </is>
      </c>
      <c r="D70" s="225" t="n">
        <v>200</v>
      </c>
      <c r="F70" s="225" t="n">
        <v>0</v>
      </c>
      <c r="G70" s="225" t="inlineStr">
        <is>
          <t>１</t>
        </is>
      </c>
      <c r="J70" s="225" t="inlineStr">
        <is>
          <t>下期</t>
        </is>
      </c>
    </row>
    <row r="71">
      <c r="A71" s="225" t="inlineStr">
        <is>
          <t>外部</t>
        </is>
      </c>
      <c r="B71" s="225" t="inlineStr">
        <is>
          <t>特定技能</t>
        </is>
      </c>
      <c r="C71" s="225" t="inlineStr">
        <is>
          <t>1月</t>
        </is>
      </c>
      <c r="D71" s="225" t="n">
        <v>200</v>
      </c>
      <c r="F71" s="225" t="n">
        <v>0</v>
      </c>
      <c r="G71" s="225" t="inlineStr">
        <is>
          <t>１</t>
        </is>
      </c>
      <c r="J71" s="225" t="inlineStr">
        <is>
          <t>下期</t>
        </is>
      </c>
    </row>
    <row r="72">
      <c r="A72" s="225" t="inlineStr">
        <is>
          <t>外部</t>
        </is>
      </c>
      <c r="B72" s="225" t="inlineStr">
        <is>
          <t>特定技能</t>
        </is>
      </c>
      <c r="C72" s="225" t="inlineStr">
        <is>
          <t>2月</t>
        </is>
      </c>
      <c r="D72" s="225" t="n">
        <v>200</v>
      </c>
      <c r="F72" s="225" t="n">
        <v>0</v>
      </c>
      <c r="G72" s="225" t="inlineStr">
        <is>
          <t>１</t>
        </is>
      </c>
      <c r="J72" s="225" t="inlineStr">
        <is>
          <t>下期</t>
        </is>
      </c>
    </row>
    <row r="73">
      <c r="A73" s="225" t="inlineStr">
        <is>
          <t>外部</t>
        </is>
      </c>
      <c r="B73" s="225" t="inlineStr">
        <is>
          <t>特定技能</t>
        </is>
      </c>
      <c r="C73" s="225" t="inlineStr">
        <is>
          <t>3月</t>
        </is>
      </c>
      <c r="D73" s="225" t="n">
        <v>200</v>
      </c>
      <c r="F73" s="225" t="n">
        <v>0</v>
      </c>
      <c r="J73" s="225" t="inlineStr">
        <is>
          <t>下期</t>
        </is>
      </c>
    </row>
    <row r="74">
      <c r="A74" s="225" t="inlineStr">
        <is>
          <t>外部</t>
        </is>
      </c>
      <c r="B74" s="225" t="inlineStr">
        <is>
          <t>アルバイト</t>
        </is>
      </c>
      <c r="C74" s="225" t="inlineStr">
        <is>
          <t>4月</t>
        </is>
      </c>
      <c r="E74" s="225" t="n">
        <v>60</v>
      </c>
      <c r="F74" s="225" t="n">
        <v>0</v>
      </c>
      <c r="H74" s="225" t="inlineStr">
        <is>
          <t>２</t>
        </is>
      </c>
      <c r="J74" s="225" t="inlineStr">
        <is>
          <t>上期</t>
        </is>
      </c>
    </row>
    <row r="75">
      <c r="A75" s="225" t="inlineStr">
        <is>
          <t>外部</t>
        </is>
      </c>
      <c r="B75" s="225" t="inlineStr">
        <is>
          <t>アルバイト</t>
        </is>
      </c>
      <c r="C75" s="225" t="inlineStr">
        <is>
          <t>5月</t>
        </is>
      </c>
      <c r="E75" s="225" t="n">
        <v>0</v>
      </c>
      <c r="F75" s="225" t="n">
        <v>0</v>
      </c>
      <c r="H75" s="225" t="inlineStr">
        <is>
          <t>０</t>
        </is>
      </c>
      <c r="J75" s="225" t="inlineStr">
        <is>
          <t>上期</t>
        </is>
      </c>
    </row>
    <row r="76">
      <c r="A76" s="225" t="inlineStr">
        <is>
          <t>外部</t>
        </is>
      </c>
      <c r="B76" s="225" t="inlineStr">
        <is>
          <t>アルバイト</t>
        </is>
      </c>
      <c r="C76" s="225" t="inlineStr">
        <is>
          <t>6月</t>
        </is>
      </c>
      <c r="E76" s="225" t="n">
        <v>30</v>
      </c>
      <c r="F76" s="225" t="n">
        <v>0</v>
      </c>
      <c r="H76" s="225" t="inlineStr">
        <is>
          <t>１</t>
        </is>
      </c>
      <c r="J76" s="225" t="inlineStr">
        <is>
          <t>上期</t>
        </is>
      </c>
    </row>
    <row r="77">
      <c r="A77" s="225" t="inlineStr">
        <is>
          <t>外部</t>
        </is>
      </c>
      <c r="B77" s="225" t="inlineStr">
        <is>
          <t>アルバイト</t>
        </is>
      </c>
      <c r="C77" s="225" t="inlineStr">
        <is>
          <t>7月</t>
        </is>
      </c>
      <c r="E77" s="225" t="n">
        <v>180</v>
      </c>
      <c r="F77" s="225" t="n">
        <v>0</v>
      </c>
      <c r="H77" s="225" t="inlineStr">
        <is>
          <t>６</t>
        </is>
      </c>
      <c r="J77" s="225" t="inlineStr">
        <is>
          <t>上期</t>
        </is>
      </c>
    </row>
    <row r="78">
      <c r="A78" s="225" t="inlineStr">
        <is>
          <t>外部</t>
        </is>
      </c>
      <c r="B78" s="225" t="inlineStr">
        <is>
          <t>アルバイト</t>
        </is>
      </c>
      <c r="C78" s="225" t="inlineStr">
        <is>
          <t>8月</t>
        </is>
      </c>
      <c r="E78" s="225" t="n">
        <v>0</v>
      </c>
      <c r="F78" s="225" t="n">
        <v>0</v>
      </c>
      <c r="H78" s="225" t="inlineStr">
        <is>
          <t>０</t>
        </is>
      </c>
      <c r="J78" s="225" t="inlineStr">
        <is>
          <t>上期</t>
        </is>
      </c>
    </row>
    <row r="79">
      <c r="A79" s="225" t="inlineStr">
        <is>
          <t>外部</t>
        </is>
      </c>
      <c r="B79" s="225" t="inlineStr">
        <is>
          <t>アルバイト</t>
        </is>
      </c>
      <c r="C79" s="225" t="inlineStr">
        <is>
          <t>9月</t>
        </is>
      </c>
      <c r="E79" s="225" t="n">
        <v>0</v>
      </c>
      <c r="F79" s="225" t="n">
        <v>0</v>
      </c>
      <c r="H79" s="225" t="inlineStr">
        <is>
          <t>０</t>
        </is>
      </c>
      <c r="J79" s="225" t="inlineStr">
        <is>
          <t>上期</t>
        </is>
      </c>
    </row>
    <row r="80">
      <c r="A80" s="225" t="inlineStr">
        <is>
          <t>外部</t>
        </is>
      </c>
      <c r="B80" s="225" t="inlineStr">
        <is>
          <t>アルバイト</t>
        </is>
      </c>
      <c r="C80" s="225" t="inlineStr">
        <is>
          <t>10月</t>
        </is>
      </c>
      <c r="F80" s="225" t="n">
        <v>0</v>
      </c>
      <c r="H80" s="225" t="inlineStr">
        <is>
          <t>０</t>
        </is>
      </c>
      <c r="J80" s="225" t="inlineStr">
        <is>
          <t>下期</t>
        </is>
      </c>
    </row>
    <row r="81">
      <c r="A81" s="225" t="inlineStr">
        <is>
          <t>外部</t>
        </is>
      </c>
      <c r="B81" s="225" t="inlineStr">
        <is>
          <t>アルバイト</t>
        </is>
      </c>
      <c r="C81" s="225" t="inlineStr">
        <is>
          <t>11月</t>
        </is>
      </c>
      <c r="F81" s="225" t="n">
        <v>0</v>
      </c>
      <c r="H81" s="225" t="inlineStr">
        <is>
          <t>０</t>
        </is>
      </c>
      <c r="J81" s="225" t="inlineStr">
        <is>
          <t>下期</t>
        </is>
      </c>
    </row>
    <row r="82">
      <c r="A82" s="225" t="inlineStr">
        <is>
          <t>外部</t>
        </is>
      </c>
      <c r="B82" s="225" t="inlineStr">
        <is>
          <t>アルバイト</t>
        </is>
      </c>
      <c r="C82" s="225" t="inlineStr">
        <is>
          <t>12月</t>
        </is>
      </c>
      <c r="F82" s="225" t="n">
        <v>0</v>
      </c>
      <c r="H82" s="225" t="inlineStr">
        <is>
          <t>０</t>
        </is>
      </c>
      <c r="J82" s="225" t="inlineStr">
        <is>
          <t>下期</t>
        </is>
      </c>
    </row>
    <row r="83">
      <c r="A83" s="225" t="inlineStr">
        <is>
          <t>外部</t>
        </is>
      </c>
      <c r="B83" s="225" t="inlineStr">
        <is>
          <t>アルバイト</t>
        </is>
      </c>
      <c r="C83" s="225" t="inlineStr">
        <is>
          <t>1月</t>
        </is>
      </c>
      <c r="F83" s="225" t="n">
        <v>0</v>
      </c>
      <c r="H83" s="225" t="inlineStr">
        <is>
          <t>０</t>
        </is>
      </c>
      <c r="J83" s="225" t="inlineStr">
        <is>
          <t>下期</t>
        </is>
      </c>
    </row>
    <row r="84">
      <c r="A84" s="225" t="inlineStr">
        <is>
          <t>外部</t>
        </is>
      </c>
      <c r="B84" s="225" t="inlineStr">
        <is>
          <t>アルバイト</t>
        </is>
      </c>
      <c r="C84" s="225" t="inlineStr">
        <is>
          <t>2月</t>
        </is>
      </c>
      <c r="F84" s="225" t="n">
        <v>0</v>
      </c>
      <c r="H84" s="225" t="inlineStr">
        <is>
          <t>０</t>
        </is>
      </c>
      <c r="J84" s="225" t="inlineStr">
        <is>
          <t>下期</t>
        </is>
      </c>
    </row>
    <row r="85">
      <c r="A85" s="225" t="inlineStr">
        <is>
          <t>外部</t>
        </is>
      </c>
      <c r="B85" s="225" t="inlineStr">
        <is>
          <t>アルバイト</t>
        </is>
      </c>
      <c r="C85" s="225" t="inlineStr">
        <is>
          <t>3月</t>
        </is>
      </c>
      <c r="F85" s="225" t="n">
        <v>0</v>
      </c>
      <c r="H85" s="225" t="inlineStr">
        <is>
          <t>０</t>
        </is>
      </c>
      <c r="J85" s="225" t="inlineStr">
        <is>
          <t>下期</t>
        </is>
      </c>
    </row>
    <row r="86">
      <c r="A86" s="225" t="inlineStr">
        <is>
          <t>外部</t>
        </is>
      </c>
      <c r="B86" s="225" t="inlineStr">
        <is>
          <t>支援業務</t>
        </is>
      </c>
      <c r="C86" s="225" t="inlineStr">
        <is>
          <t>4月</t>
        </is>
      </c>
      <c r="E86" s="225" t="n">
        <v>70</v>
      </c>
      <c r="F86" s="225" t="n">
        <v>0</v>
      </c>
      <c r="J86" s="225" t="inlineStr">
        <is>
          <t>上期</t>
        </is>
      </c>
    </row>
    <row r="87">
      <c r="A87" s="225" t="inlineStr">
        <is>
          <t>外部</t>
        </is>
      </c>
      <c r="B87" s="225" t="inlineStr">
        <is>
          <t>支援業務</t>
        </is>
      </c>
      <c r="C87" s="225" t="inlineStr">
        <is>
          <t>5月</t>
        </is>
      </c>
      <c r="E87" s="225" t="n">
        <v>65</v>
      </c>
      <c r="F87" s="225" t="n">
        <v>0</v>
      </c>
      <c r="J87" s="225" t="inlineStr">
        <is>
          <t>上期</t>
        </is>
      </c>
    </row>
    <row r="88">
      <c r="A88" s="225" t="inlineStr">
        <is>
          <t>外部</t>
        </is>
      </c>
      <c r="B88" s="225" t="inlineStr">
        <is>
          <t>支援業務</t>
        </is>
      </c>
      <c r="C88" s="225" t="inlineStr">
        <is>
          <t>6月</t>
        </is>
      </c>
      <c r="E88" s="225" t="n">
        <v>65</v>
      </c>
      <c r="F88" s="225" t="n">
        <v>0</v>
      </c>
      <c r="J88" s="225" t="inlineStr">
        <is>
          <t>上期</t>
        </is>
      </c>
    </row>
    <row r="89">
      <c r="A89" s="225" t="inlineStr">
        <is>
          <t>外部</t>
        </is>
      </c>
      <c r="B89" s="225" t="inlineStr">
        <is>
          <t>支援業務</t>
        </is>
      </c>
      <c r="C89" s="225" t="inlineStr">
        <is>
          <t>7月</t>
        </is>
      </c>
      <c r="E89" s="225" t="n">
        <v>65</v>
      </c>
      <c r="F89" s="225" t="n">
        <v>0</v>
      </c>
      <c r="J89" s="225" t="inlineStr">
        <is>
          <t>上期</t>
        </is>
      </c>
    </row>
    <row r="90">
      <c r="A90" s="225" t="inlineStr">
        <is>
          <t>外部</t>
        </is>
      </c>
      <c r="B90" s="225" t="inlineStr">
        <is>
          <t>支援業務</t>
        </is>
      </c>
      <c r="C90" s="225" t="inlineStr">
        <is>
          <t>8月</t>
        </is>
      </c>
      <c r="E90" s="225" t="n">
        <v>85</v>
      </c>
      <c r="F90" s="225" t="n">
        <v>0</v>
      </c>
      <c r="J90" s="225" t="inlineStr">
        <is>
          <t>上期</t>
        </is>
      </c>
    </row>
    <row r="91">
      <c r="A91" s="225" t="inlineStr">
        <is>
          <t>外部</t>
        </is>
      </c>
      <c r="B91" s="225" t="inlineStr">
        <is>
          <t>支援業務</t>
        </is>
      </c>
      <c r="C91" s="225" t="inlineStr">
        <is>
          <t>9月</t>
        </is>
      </c>
      <c r="E91" s="225" t="n">
        <v>85</v>
      </c>
      <c r="F91" s="225" t="n">
        <v>0</v>
      </c>
      <c r="J91" s="225" t="inlineStr">
        <is>
          <t>上期</t>
        </is>
      </c>
    </row>
    <row r="92">
      <c r="A92" s="225" t="inlineStr">
        <is>
          <t>外部</t>
        </is>
      </c>
      <c r="B92" s="225" t="inlineStr">
        <is>
          <t>支援業務</t>
        </is>
      </c>
      <c r="C92" s="225" t="inlineStr">
        <is>
          <t>10月</t>
        </is>
      </c>
      <c r="E92" s="225" t="n">
        <v>85</v>
      </c>
      <c r="F92" s="225" t="n">
        <v>0</v>
      </c>
      <c r="J92" s="225" t="inlineStr">
        <is>
          <t>下期</t>
        </is>
      </c>
    </row>
    <row r="93">
      <c r="A93" s="225" t="inlineStr">
        <is>
          <t>外部</t>
        </is>
      </c>
      <c r="B93" s="225" t="inlineStr">
        <is>
          <t>支援業務</t>
        </is>
      </c>
      <c r="C93" s="225" t="inlineStr">
        <is>
          <t>11月</t>
        </is>
      </c>
      <c r="E93" s="225" t="n">
        <v>145</v>
      </c>
      <c r="F93" s="225" t="n">
        <v>0</v>
      </c>
      <c r="J93" s="225" t="inlineStr">
        <is>
          <t>下期</t>
        </is>
      </c>
    </row>
    <row r="94">
      <c r="A94" s="225" t="inlineStr">
        <is>
          <t>外部</t>
        </is>
      </c>
      <c r="B94" s="225" t="inlineStr">
        <is>
          <t>支援業務</t>
        </is>
      </c>
      <c r="C94" s="225" t="inlineStr">
        <is>
          <t>12月</t>
        </is>
      </c>
      <c r="F94" s="225" t="n">
        <v>0</v>
      </c>
      <c r="J94" s="225" t="inlineStr">
        <is>
          <t>下期</t>
        </is>
      </c>
    </row>
    <row r="95">
      <c r="A95" s="225" t="inlineStr">
        <is>
          <t>外部</t>
        </is>
      </c>
      <c r="B95" s="225" t="inlineStr">
        <is>
          <t>支援業務</t>
        </is>
      </c>
      <c r="C95" s="225" t="inlineStr">
        <is>
          <t>1月</t>
        </is>
      </c>
      <c r="F95" s="225" t="n">
        <v>0</v>
      </c>
      <c r="J95" s="225" t="inlineStr">
        <is>
          <t>下期</t>
        </is>
      </c>
    </row>
    <row r="96">
      <c r="A96" s="225" t="inlineStr">
        <is>
          <t>外部</t>
        </is>
      </c>
      <c r="B96" s="225" t="inlineStr">
        <is>
          <t>支援業務</t>
        </is>
      </c>
      <c r="C96" s="225" t="inlineStr">
        <is>
          <t>2月</t>
        </is>
      </c>
      <c r="F96" s="225" t="n">
        <v>0</v>
      </c>
      <c r="J96" s="225" t="inlineStr">
        <is>
          <t>下期</t>
        </is>
      </c>
    </row>
    <row r="97">
      <c r="A97" s="225" t="inlineStr">
        <is>
          <t>外部</t>
        </is>
      </c>
      <c r="B97" s="225" t="inlineStr">
        <is>
          <t>支援業務</t>
        </is>
      </c>
      <c r="C97" s="225" t="inlineStr">
        <is>
          <t>3月</t>
        </is>
      </c>
      <c r="F97" s="225" t="n">
        <v>0</v>
      </c>
      <c r="J97" s="225" t="inlineStr">
        <is>
          <t>下期</t>
        </is>
      </c>
    </row>
    <row r="98">
      <c r="A98" s="225" t="inlineStr">
        <is>
          <t>試験対策</t>
        </is>
      </c>
      <c r="B98" s="225" t="inlineStr">
        <is>
          <t>ビルクリーン</t>
        </is>
      </c>
      <c r="C98" s="225" t="inlineStr">
        <is>
          <t>4月</t>
        </is>
      </c>
      <c r="D98" s="225" t="n">
        <v>0</v>
      </c>
      <c r="E98" s="225" t="n">
        <v>88</v>
      </c>
      <c r="F98" s="225" t="n">
        <v>0</v>
      </c>
      <c r="G98" s="225" t="inlineStr">
        <is>
          <t>０</t>
        </is>
      </c>
      <c r="H98" s="225" t="inlineStr">
        <is>
          <t>４</t>
        </is>
      </c>
      <c r="J98" s="225" t="inlineStr">
        <is>
          <t>上期</t>
        </is>
      </c>
    </row>
    <row r="99">
      <c r="A99" s="225" t="inlineStr">
        <is>
          <t>試験対策</t>
        </is>
      </c>
      <c r="B99" s="225" t="inlineStr">
        <is>
          <t>ビルクリーン</t>
        </is>
      </c>
      <c r="C99" s="225" t="inlineStr">
        <is>
          <t>5月</t>
        </is>
      </c>
      <c r="D99" s="225" t="n">
        <v>400</v>
      </c>
      <c r="E99" s="225" t="n">
        <v>149</v>
      </c>
      <c r="F99" s="225" t="n">
        <v>0.3725</v>
      </c>
      <c r="G99" s="225" t="n">
        <v>20</v>
      </c>
      <c r="H99" s="225" t="inlineStr">
        <is>
          <t>７</t>
        </is>
      </c>
      <c r="J99" s="225" t="inlineStr">
        <is>
          <t>上期</t>
        </is>
      </c>
    </row>
    <row r="100">
      <c r="A100" s="225" t="inlineStr">
        <is>
          <t>試験対策</t>
        </is>
      </c>
      <c r="B100" s="225" t="inlineStr">
        <is>
          <t>ビルクリーン</t>
        </is>
      </c>
      <c r="C100" s="225" t="inlineStr">
        <is>
          <t>6月</t>
        </is>
      </c>
      <c r="D100" s="225" t="n">
        <v>0</v>
      </c>
      <c r="E100" s="225" t="n">
        <v>67</v>
      </c>
      <c r="F100" s="225" t="n">
        <v>0</v>
      </c>
      <c r="G100" s="225" t="inlineStr">
        <is>
          <t>０</t>
        </is>
      </c>
      <c r="H100" s="225" t="n">
        <v>3</v>
      </c>
      <c r="J100" s="225" t="inlineStr">
        <is>
          <t>上期</t>
        </is>
      </c>
    </row>
    <row r="101">
      <c r="A101" s="225" t="inlineStr">
        <is>
          <t>試験対策</t>
        </is>
      </c>
      <c r="B101" s="225" t="inlineStr">
        <is>
          <t>ビルクリーン</t>
        </is>
      </c>
      <c r="C101" s="225" t="inlineStr">
        <is>
          <t>7月</t>
        </is>
      </c>
      <c r="D101" s="225" t="n">
        <v>400</v>
      </c>
      <c r="E101" s="225" t="n">
        <v>124</v>
      </c>
      <c r="F101" s="225" t="n">
        <v>0.31</v>
      </c>
      <c r="G101" s="225" t="n">
        <v>20</v>
      </c>
      <c r="H101" s="225" t="n">
        <v>6</v>
      </c>
      <c r="J101" s="225" t="inlineStr">
        <is>
          <t>上期</t>
        </is>
      </c>
    </row>
    <row r="102">
      <c r="A102" s="225" t="inlineStr">
        <is>
          <t>試験対策</t>
        </is>
      </c>
      <c r="B102" s="225" t="inlineStr">
        <is>
          <t>ビルクリーン</t>
        </is>
      </c>
      <c r="C102" s="225" t="inlineStr">
        <is>
          <t>8月</t>
        </is>
      </c>
      <c r="D102" s="225" t="n">
        <v>0</v>
      </c>
      <c r="E102" s="225" t="n">
        <v>186</v>
      </c>
      <c r="F102" s="225" t="n">
        <v>0</v>
      </c>
      <c r="G102" s="225" t="inlineStr">
        <is>
          <t>０</t>
        </is>
      </c>
      <c r="H102" s="225" t="n">
        <v>9</v>
      </c>
      <c r="J102" s="225" t="inlineStr">
        <is>
          <t>上期</t>
        </is>
      </c>
    </row>
    <row r="103">
      <c r="A103" s="225" t="inlineStr">
        <is>
          <t>試験対策</t>
        </is>
      </c>
      <c r="B103" s="225" t="inlineStr">
        <is>
          <t>ビルクリーン</t>
        </is>
      </c>
      <c r="C103" s="225" t="inlineStr">
        <is>
          <t>9月</t>
        </is>
      </c>
      <c r="D103" s="225" t="n">
        <v>400</v>
      </c>
      <c r="E103" s="225" t="n">
        <v>82</v>
      </c>
      <c r="F103" s="225" t="n">
        <v>0.205</v>
      </c>
      <c r="G103" s="225" t="n">
        <v>20</v>
      </c>
      <c r="H103" s="225" t="inlineStr">
        <is>
          <t>４</t>
        </is>
      </c>
      <c r="J103" s="225" t="inlineStr">
        <is>
          <t>上期</t>
        </is>
      </c>
    </row>
    <row r="104">
      <c r="A104" s="225" t="inlineStr">
        <is>
          <t>試験対策</t>
        </is>
      </c>
      <c r="B104" s="225" t="inlineStr">
        <is>
          <t>ビルクリーン</t>
        </is>
      </c>
      <c r="C104" s="225" t="inlineStr">
        <is>
          <t>10月</t>
        </is>
      </c>
      <c r="D104" s="225" t="n">
        <v>400</v>
      </c>
      <c r="E104" s="225" t="n">
        <v>107</v>
      </c>
      <c r="F104" s="225" t="n">
        <v>0.2675</v>
      </c>
      <c r="G104" s="225" t="n">
        <v>20</v>
      </c>
      <c r="H104" s="225" t="inlineStr">
        <is>
          <t>５</t>
        </is>
      </c>
      <c r="J104" s="225" t="inlineStr">
        <is>
          <t>下期</t>
        </is>
      </c>
    </row>
    <row r="105">
      <c r="A105" s="225" t="inlineStr">
        <is>
          <t>試験対策</t>
        </is>
      </c>
      <c r="B105" s="225" t="inlineStr">
        <is>
          <t>ビルクリーン</t>
        </is>
      </c>
      <c r="C105" s="225" t="inlineStr">
        <is>
          <t>11月</t>
        </is>
      </c>
      <c r="D105" s="225" t="n">
        <v>400</v>
      </c>
      <c r="E105" s="225" t="n">
        <v>435</v>
      </c>
      <c r="F105" s="225" t="n">
        <v>1.0875</v>
      </c>
      <c r="G105" s="225" t="n">
        <v>20</v>
      </c>
      <c r="H105" s="225" t="n">
        <v>21</v>
      </c>
      <c r="J105" s="225" t="inlineStr">
        <is>
          <t>下期</t>
        </is>
      </c>
    </row>
    <row r="106">
      <c r="A106" s="225" t="inlineStr">
        <is>
          <t>試験対策</t>
        </is>
      </c>
      <c r="B106" s="225" t="inlineStr">
        <is>
          <t>ビルクリーン</t>
        </is>
      </c>
      <c r="C106" s="225" t="inlineStr">
        <is>
          <t>12月</t>
        </is>
      </c>
      <c r="D106" s="225" t="n">
        <v>0</v>
      </c>
      <c r="F106" s="225" t="n">
        <v>0</v>
      </c>
      <c r="G106" s="225" t="inlineStr">
        <is>
          <t>０</t>
        </is>
      </c>
      <c r="J106" s="225" t="inlineStr">
        <is>
          <t>下期</t>
        </is>
      </c>
    </row>
    <row r="107">
      <c r="A107" s="225" t="inlineStr">
        <is>
          <t>試験対策</t>
        </is>
      </c>
      <c r="B107" s="225" t="inlineStr">
        <is>
          <t>ビルクリーン</t>
        </is>
      </c>
      <c r="C107" s="225" t="inlineStr">
        <is>
          <t>1月</t>
        </is>
      </c>
      <c r="D107" s="225" t="n">
        <v>400</v>
      </c>
      <c r="E107" s="225" t="n">
        <v>0</v>
      </c>
      <c r="F107" s="225" t="n">
        <v>0</v>
      </c>
      <c r="G107" s="225" t="n">
        <v>20</v>
      </c>
      <c r="J107" s="225" t="inlineStr">
        <is>
          <t>下期</t>
        </is>
      </c>
    </row>
    <row r="108">
      <c r="A108" s="225" t="inlineStr">
        <is>
          <t>試験対策</t>
        </is>
      </c>
      <c r="B108" s="225" t="inlineStr">
        <is>
          <t>ビルクリーン</t>
        </is>
      </c>
      <c r="C108" s="225" t="inlineStr">
        <is>
          <t>2月</t>
        </is>
      </c>
      <c r="D108" s="225" t="n">
        <v>0</v>
      </c>
      <c r="E108" s="225" t="n">
        <v>0</v>
      </c>
      <c r="F108" s="225" t="n">
        <v>0</v>
      </c>
      <c r="J108" s="225" t="inlineStr">
        <is>
          <t>下期</t>
        </is>
      </c>
    </row>
    <row r="109">
      <c r="A109" s="225" t="inlineStr">
        <is>
          <t>試験対策</t>
        </is>
      </c>
      <c r="B109" s="225" t="inlineStr">
        <is>
          <t>ビルクリーン</t>
        </is>
      </c>
      <c r="C109" s="225" t="inlineStr">
        <is>
          <t>3月</t>
        </is>
      </c>
      <c r="D109" s="225" t="n">
        <v>400</v>
      </c>
      <c r="E109" s="225" t="n">
        <v>0</v>
      </c>
      <c r="F109" s="225" t="n">
        <v>0</v>
      </c>
      <c r="G109" s="225" t="n">
        <v>20</v>
      </c>
      <c r="J109" s="225" t="inlineStr">
        <is>
          <t>下期</t>
        </is>
      </c>
    </row>
    <row r="110">
      <c r="A110" s="225" t="inlineStr">
        <is>
          <t>試験対策</t>
        </is>
      </c>
      <c r="B110" s="225" t="inlineStr">
        <is>
          <t>外食</t>
        </is>
      </c>
      <c r="C110" s="225" t="inlineStr">
        <is>
          <t>4月</t>
        </is>
      </c>
      <c r="D110" s="225" t="n">
        <v>0</v>
      </c>
      <c r="E110" s="225" t="n">
        <v>0</v>
      </c>
      <c r="F110" s="225" t="n">
        <v>0</v>
      </c>
      <c r="J110" s="225" t="inlineStr">
        <is>
          <t>上期</t>
        </is>
      </c>
    </row>
    <row r="111">
      <c r="A111" s="225" t="inlineStr">
        <is>
          <t>試験対策</t>
        </is>
      </c>
      <c r="B111" s="225" t="inlineStr">
        <is>
          <t>外食</t>
        </is>
      </c>
      <c r="C111" s="225" t="inlineStr">
        <is>
          <t>5月</t>
        </is>
      </c>
      <c r="D111" s="225" t="n">
        <v>0</v>
      </c>
      <c r="E111" s="225" t="n">
        <v>0</v>
      </c>
      <c r="F111" s="225" t="n">
        <v>0</v>
      </c>
      <c r="J111" s="225" t="inlineStr">
        <is>
          <t>上期</t>
        </is>
      </c>
    </row>
    <row r="112">
      <c r="A112" s="225" t="inlineStr">
        <is>
          <t>試験対策</t>
        </is>
      </c>
      <c r="B112" s="225" t="inlineStr">
        <is>
          <t>外食</t>
        </is>
      </c>
      <c r="C112" s="225" t="inlineStr">
        <is>
          <t>6月</t>
        </is>
      </c>
      <c r="D112" s="225" t="n">
        <v>0</v>
      </c>
      <c r="E112" s="225" t="n">
        <v>0</v>
      </c>
      <c r="F112" s="225" t="n">
        <v>0</v>
      </c>
      <c r="J112" s="225" t="inlineStr">
        <is>
          <t>上期</t>
        </is>
      </c>
    </row>
    <row r="113">
      <c r="A113" s="225" t="inlineStr">
        <is>
          <t>試験対策</t>
        </is>
      </c>
      <c r="B113" s="225" t="inlineStr">
        <is>
          <t>外食</t>
        </is>
      </c>
      <c r="C113" s="225" t="inlineStr">
        <is>
          <t>7月</t>
        </is>
      </c>
      <c r="D113" s="225" t="n">
        <v>0</v>
      </c>
      <c r="F113" s="225" t="n">
        <v>0</v>
      </c>
      <c r="J113" s="225" t="inlineStr">
        <is>
          <t>上期</t>
        </is>
      </c>
    </row>
    <row r="114">
      <c r="A114" s="225" t="inlineStr">
        <is>
          <t>試験対策</t>
        </is>
      </c>
      <c r="B114" s="225" t="inlineStr">
        <is>
          <t>外食</t>
        </is>
      </c>
      <c r="C114" s="225" t="inlineStr">
        <is>
          <t>8月</t>
        </is>
      </c>
      <c r="D114" s="225" t="n">
        <v>0</v>
      </c>
      <c r="F114" s="225" t="n">
        <v>0</v>
      </c>
      <c r="J114" s="225" t="inlineStr">
        <is>
          <t>上期</t>
        </is>
      </c>
    </row>
    <row r="115">
      <c r="A115" s="225" t="inlineStr">
        <is>
          <t>試験対策</t>
        </is>
      </c>
      <c r="B115" s="225" t="inlineStr">
        <is>
          <t>外食</t>
        </is>
      </c>
      <c r="C115" s="225" t="inlineStr">
        <is>
          <t>9月</t>
        </is>
      </c>
      <c r="D115" s="225" t="n">
        <v>0</v>
      </c>
      <c r="F115" s="225" t="n">
        <v>0</v>
      </c>
      <c r="J115" s="225" t="inlineStr">
        <is>
          <t>上期</t>
        </is>
      </c>
    </row>
    <row r="116">
      <c r="A116" s="225" t="inlineStr">
        <is>
          <t>試験対策</t>
        </is>
      </c>
      <c r="B116" s="225" t="inlineStr">
        <is>
          <t>外食</t>
        </is>
      </c>
      <c r="C116" s="225" t="inlineStr">
        <is>
          <t>10月</t>
        </is>
      </c>
      <c r="D116" s="225" t="n">
        <v>0</v>
      </c>
      <c r="E116" s="225" t="n">
        <v>0</v>
      </c>
      <c r="F116" s="225" t="n">
        <v>0</v>
      </c>
      <c r="J116" s="225" t="inlineStr">
        <is>
          <t>下期</t>
        </is>
      </c>
    </row>
    <row r="117">
      <c r="A117" s="225" t="inlineStr">
        <is>
          <t>試験対策</t>
        </is>
      </c>
      <c r="B117" s="225" t="inlineStr">
        <is>
          <t>外食</t>
        </is>
      </c>
      <c r="C117" s="225" t="inlineStr">
        <is>
          <t>11月</t>
        </is>
      </c>
      <c r="D117" s="225" t="n">
        <v>0</v>
      </c>
      <c r="E117" s="225" t="n">
        <v>0</v>
      </c>
      <c r="F117" s="225" t="n">
        <v>0</v>
      </c>
      <c r="J117" s="225" t="inlineStr">
        <is>
          <t>下期</t>
        </is>
      </c>
    </row>
    <row r="118">
      <c r="A118" s="225" t="inlineStr">
        <is>
          <t>試験対策</t>
        </is>
      </c>
      <c r="B118" s="225" t="inlineStr">
        <is>
          <t>外食</t>
        </is>
      </c>
      <c r="C118" s="225" t="inlineStr">
        <is>
          <t>12月</t>
        </is>
      </c>
      <c r="D118" s="225" t="n">
        <v>0</v>
      </c>
      <c r="F118" s="225" t="n">
        <v>0</v>
      </c>
      <c r="J118" s="225" t="inlineStr">
        <is>
          <t>下期</t>
        </is>
      </c>
    </row>
    <row r="119">
      <c r="A119" s="225" t="inlineStr">
        <is>
          <t>試験対策</t>
        </is>
      </c>
      <c r="B119" s="225" t="inlineStr">
        <is>
          <t>外食</t>
        </is>
      </c>
      <c r="C119" s="225" t="inlineStr">
        <is>
          <t>1月</t>
        </is>
      </c>
      <c r="D119" s="225" t="n">
        <v>0</v>
      </c>
      <c r="F119" s="225" t="n">
        <v>0</v>
      </c>
      <c r="J119" s="225" t="inlineStr">
        <is>
          <t>下期</t>
        </is>
      </c>
    </row>
    <row r="120">
      <c r="A120" s="225" t="inlineStr">
        <is>
          <t>試験対策</t>
        </is>
      </c>
      <c r="B120" s="225" t="inlineStr">
        <is>
          <t>外食</t>
        </is>
      </c>
      <c r="C120" s="225" t="inlineStr">
        <is>
          <t>2月</t>
        </is>
      </c>
      <c r="D120" s="225" t="n">
        <v>0</v>
      </c>
      <c r="F120" s="225" t="n">
        <v>0</v>
      </c>
      <c r="J120" s="225" t="inlineStr">
        <is>
          <t>下期</t>
        </is>
      </c>
    </row>
    <row r="121">
      <c r="A121" s="225" t="inlineStr">
        <is>
          <t>試験対策</t>
        </is>
      </c>
      <c r="B121" s="225" t="inlineStr">
        <is>
          <t>外食</t>
        </is>
      </c>
      <c r="C121" s="225" t="inlineStr">
        <is>
          <t>3月</t>
        </is>
      </c>
      <c r="D121" s="225" t="n">
        <v>0</v>
      </c>
      <c r="F121" s="225" t="n">
        <v>0</v>
      </c>
      <c r="J121" s="225" t="inlineStr">
        <is>
          <t>下期</t>
        </is>
      </c>
    </row>
    <row r="122">
      <c r="A122" s="225" t="inlineStr">
        <is>
          <t>試験対策</t>
        </is>
      </c>
      <c r="B122" s="225" t="inlineStr">
        <is>
          <t>宿泊</t>
        </is>
      </c>
      <c r="C122" s="225" t="inlineStr">
        <is>
          <t>4月</t>
        </is>
      </c>
      <c r="D122" s="225" t="n">
        <v>0</v>
      </c>
      <c r="F122" s="225" t="n">
        <v>0</v>
      </c>
      <c r="J122" s="225" t="inlineStr">
        <is>
          <t>上期</t>
        </is>
      </c>
    </row>
    <row r="123">
      <c r="A123" s="225" t="inlineStr">
        <is>
          <t>試験対策</t>
        </is>
      </c>
      <c r="B123" s="225" t="inlineStr">
        <is>
          <t>宿泊</t>
        </is>
      </c>
      <c r="C123" s="225" t="inlineStr">
        <is>
          <t>5月</t>
        </is>
      </c>
      <c r="D123" s="225" t="n">
        <v>0</v>
      </c>
      <c r="E123" s="225" t="n">
        <v>0</v>
      </c>
      <c r="F123" s="225" t="n">
        <v>0</v>
      </c>
      <c r="J123" s="225" t="inlineStr">
        <is>
          <t>上期</t>
        </is>
      </c>
    </row>
    <row r="124">
      <c r="A124" s="225" t="inlineStr">
        <is>
          <t>試験対策</t>
        </is>
      </c>
      <c r="B124" s="225" t="inlineStr">
        <is>
          <t>宿泊</t>
        </is>
      </c>
      <c r="C124" s="225" t="inlineStr">
        <is>
          <t>6月</t>
        </is>
      </c>
      <c r="D124" s="225" t="n">
        <v>0</v>
      </c>
      <c r="E124" s="225" t="n">
        <v>0</v>
      </c>
      <c r="F124" s="225" t="n">
        <v>0</v>
      </c>
      <c r="J124" s="225" t="inlineStr">
        <is>
          <t>上期</t>
        </is>
      </c>
    </row>
    <row r="125">
      <c r="A125" s="225" t="inlineStr">
        <is>
          <t>試験対策</t>
        </is>
      </c>
      <c r="B125" s="225" t="inlineStr">
        <is>
          <t>宿泊</t>
        </is>
      </c>
      <c r="C125" s="225" t="inlineStr">
        <is>
          <t>7月</t>
        </is>
      </c>
      <c r="D125" s="225" t="n">
        <v>0</v>
      </c>
      <c r="F125" s="225" t="n">
        <v>0</v>
      </c>
      <c r="J125" s="225" t="inlineStr">
        <is>
          <t>上期</t>
        </is>
      </c>
    </row>
    <row r="126">
      <c r="A126" s="225" t="inlineStr">
        <is>
          <t>試験対策</t>
        </is>
      </c>
      <c r="B126" s="225" t="inlineStr">
        <is>
          <t>宿泊</t>
        </is>
      </c>
      <c r="C126" s="225" t="inlineStr">
        <is>
          <t>8月</t>
        </is>
      </c>
      <c r="D126" s="225" t="n">
        <v>0</v>
      </c>
      <c r="F126" s="225" t="n">
        <v>0</v>
      </c>
      <c r="J126" s="225" t="inlineStr">
        <is>
          <t>上期</t>
        </is>
      </c>
    </row>
    <row r="127">
      <c r="A127" s="225" t="inlineStr">
        <is>
          <t>試験対策</t>
        </is>
      </c>
      <c r="B127" s="225" t="inlineStr">
        <is>
          <t>宿泊</t>
        </is>
      </c>
      <c r="C127" s="225" t="inlineStr">
        <is>
          <t>9月</t>
        </is>
      </c>
      <c r="D127" s="225" t="n">
        <v>0</v>
      </c>
      <c r="F127" s="225" t="n">
        <v>0</v>
      </c>
      <c r="J127" s="225" t="inlineStr">
        <is>
          <t>上期</t>
        </is>
      </c>
    </row>
    <row r="128">
      <c r="A128" s="225" t="inlineStr">
        <is>
          <t>試験対策</t>
        </is>
      </c>
      <c r="B128" s="225" t="inlineStr">
        <is>
          <t>宿泊</t>
        </is>
      </c>
      <c r="C128" s="225" t="inlineStr">
        <is>
          <t>10月</t>
        </is>
      </c>
      <c r="D128" s="225" t="n">
        <v>0</v>
      </c>
      <c r="E128" s="225" t="n">
        <v>0</v>
      </c>
      <c r="F128" s="225" t="n">
        <v>0</v>
      </c>
      <c r="J128" s="225" t="inlineStr">
        <is>
          <t>下期</t>
        </is>
      </c>
    </row>
    <row r="129">
      <c r="A129" s="225" t="inlineStr">
        <is>
          <t>試験対策</t>
        </is>
      </c>
      <c r="B129" s="225" t="inlineStr">
        <is>
          <t>宿泊</t>
        </is>
      </c>
      <c r="C129" s="225" t="inlineStr">
        <is>
          <t>11月</t>
        </is>
      </c>
      <c r="D129" s="225" t="n">
        <v>0</v>
      </c>
      <c r="E129" s="225" t="n">
        <v>0</v>
      </c>
      <c r="F129" s="225" t="n">
        <v>0</v>
      </c>
      <c r="J129" s="225" t="inlineStr">
        <is>
          <t>下期</t>
        </is>
      </c>
    </row>
    <row r="130">
      <c r="A130" s="225" t="inlineStr">
        <is>
          <t>試験対策</t>
        </is>
      </c>
      <c r="B130" s="225" t="inlineStr">
        <is>
          <t>宿泊</t>
        </is>
      </c>
      <c r="C130" s="225" t="inlineStr">
        <is>
          <t>12月</t>
        </is>
      </c>
      <c r="D130" s="225" t="n">
        <v>0</v>
      </c>
      <c r="F130" s="225" t="n">
        <v>0</v>
      </c>
      <c r="J130" s="225" t="inlineStr">
        <is>
          <t>下期</t>
        </is>
      </c>
    </row>
    <row r="131">
      <c r="A131" s="225" t="inlineStr">
        <is>
          <t>試験対策</t>
        </is>
      </c>
      <c r="B131" s="225" t="inlineStr">
        <is>
          <t>宿泊</t>
        </is>
      </c>
      <c r="C131" s="225" t="inlineStr">
        <is>
          <t>1月</t>
        </is>
      </c>
      <c r="D131" s="225" t="n">
        <v>0</v>
      </c>
      <c r="F131" s="225" t="n">
        <v>0</v>
      </c>
      <c r="J131" s="225" t="inlineStr">
        <is>
          <t>下期</t>
        </is>
      </c>
    </row>
    <row r="132">
      <c r="A132" s="225" t="inlineStr">
        <is>
          <t>試験対策</t>
        </is>
      </c>
      <c r="B132" s="225" t="inlineStr">
        <is>
          <t>宿泊</t>
        </is>
      </c>
      <c r="C132" s="225" t="inlineStr">
        <is>
          <t>2月</t>
        </is>
      </c>
      <c r="D132" s="225" t="n">
        <v>0</v>
      </c>
      <c r="F132" s="225" t="n">
        <v>0</v>
      </c>
      <c r="J132" s="225" t="inlineStr">
        <is>
          <t>下期</t>
        </is>
      </c>
    </row>
    <row r="133">
      <c r="A133" s="225" t="inlineStr">
        <is>
          <t>試験対策</t>
        </is>
      </c>
      <c r="B133" s="225" t="inlineStr">
        <is>
          <t>宿泊</t>
        </is>
      </c>
      <c r="C133" s="225" t="inlineStr">
        <is>
          <t>3月</t>
        </is>
      </c>
      <c r="D133" s="225" t="n">
        <v>0</v>
      </c>
      <c r="F133" s="225" t="n">
        <v>0</v>
      </c>
      <c r="J133" s="225" t="inlineStr">
        <is>
          <t>下期</t>
        </is>
      </c>
    </row>
    <row r="134">
      <c r="A134" s="225" t="inlineStr">
        <is>
          <t>外部小計</t>
        </is>
      </c>
      <c r="B134" s="225" t="inlineStr">
        <is>
          <t>総計</t>
        </is>
      </c>
      <c r="C134" s="225" t="inlineStr">
        <is>
          <t>4月</t>
        </is>
      </c>
      <c r="D134" s="225" t="n">
        <v>5600</v>
      </c>
      <c r="E134" s="225" t="n">
        <v>3650</v>
      </c>
      <c r="F134" s="225" t="n">
        <v>0.6517857142857143</v>
      </c>
      <c r="G134" s="225" t="n">
        <v>30</v>
      </c>
      <c r="H134" s="225" t="n">
        <v>40</v>
      </c>
      <c r="I134" s="225" t="n">
        <v>1.333333333333333</v>
      </c>
      <c r="J134" s="225" t="inlineStr">
        <is>
          <t>上期</t>
        </is>
      </c>
    </row>
    <row r="135">
      <c r="A135" s="225" t="inlineStr">
        <is>
          <t>外部小計</t>
        </is>
      </c>
      <c r="B135" s="225" t="inlineStr">
        <is>
          <t>総計</t>
        </is>
      </c>
      <c r="C135" s="225" t="inlineStr">
        <is>
          <t>5月</t>
        </is>
      </c>
      <c r="D135" s="225" t="n">
        <v>5600</v>
      </c>
      <c r="E135" s="225" t="n">
        <v>5135</v>
      </c>
      <c r="F135" s="225" t="n">
        <v>0.9169642857142857</v>
      </c>
      <c r="G135" s="225" t="n">
        <v>30</v>
      </c>
      <c r="H135" s="225" t="n">
        <v>42</v>
      </c>
      <c r="I135" s="225" t="n">
        <v>1.4</v>
      </c>
      <c r="J135" s="225" t="inlineStr">
        <is>
          <t>上期</t>
        </is>
      </c>
    </row>
    <row r="136">
      <c r="A136" s="225" t="inlineStr">
        <is>
          <t>外部小計</t>
        </is>
      </c>
      <c r="B136" s="225" t="inlineStr">
        <is>
          <t>総計</t>
        </is>
      </c>
      <c r="C136" s="225" t="inlineStr">
        <is>
          <t>6月</t>
        </is>
      </c>
      <c r="D136" s="225" t="n">
        <v>5600</v>
      </c>
      <c r="E136" s="225" t="n">
        <v>5435</v>
      </c>
      <c r="F136" s="225" t="n">
        <v>0.9705357142857143</v>
      </c>
      <c r="G136" s="225" t="n">
        <v>30</v>
      </c>
      <c r="H136" s="225" t="n">
        <v>44</v>
      </c>
      <c r="I136" s="225" t="n">
        <v>1.466666666666667</v>
      </c>
      <c r="J136" s="225" t="inlineStr">
        <is>
          <t>上期</t>
        </is>
      </c>
    </row>
    <row r="137">
      <c r="A137" s="225" t="inlineStr">
        <is>
          <t>外部小計</t>
        </is>
      </c>
      <c r="B137" s="225" t="inlineStr">
        <is>
          <t>総計</t>
        </is>
      </c>
      <c r="C137" s="225" t="inlineStr">
        <is>
          <t>7月</t>
        </is>
      </c>
      <c r="D137" s="225" t="n">
        <v>5600</v>
      </c>
      <c r="E137" s="225" t="n">
        <v>3185</v>
      </c>
      <c r="F137" s="225" t="n">
        <v>0.56875</v>
      </c>
      <c r="G137" s="225" t="n">
        <v>30</v>
      </c>
      <c r="H137" s="225" t="n">
        <v>17</v>
      </c>
      <c r="I137" s="225" t="n">
        <v>0.5666666666666667</v>
      </c>
      <c r="J137" s="225" t="inlineStr">
        <is>
          <t>上期</t>
        </is>
      </c>
    </row>
    <row r="138">
      <c r="A138" s="225" t="inlineStr">
        <is>
          <t>外部小計</t>
        </is>
      </c>
      <c r="B138" s="225" t="inlineStr">
        <is>
          <t>総計</t>
        </is>
      </c>
      <c r="C138" s="225" t="inlineStr">
        <is>
          <t>8月</t>
        </is>
      </c>
      <c r="D138" s="225" t="n">
        <v>5600</v>
      </c>
      <c r="E138" s="225" t="n">
        <v>3739</v>
      </c>
      <c r="F138" s="225" t="n">
        <v>0.6676785714285715</v>
      </c>
      <c r="G138" s="225" t="n">
        <v>30</v>
      </c>
      <c r="H138" s="225" t="n">
        <v>46</v>
      </c>
      <c r="I138" s="225" t="n">
        <v>1.533333333333333</v>
      </c>
      <c r="J138" s="225" t="inlineStr">
        <is>
          <t>上期</t>
        </is>
      </c>
    </row>
    <row r="139">
      <c r="A139" s="225" t="inlineStr">
        <is>
          <t>外部小計</t>
        </is>
      </c>
      <c r="B139" s="225" t="inlineStr">
        <is>
          <t>総計</t>
        </is>
      </c>
      <c r="C139" s="225" t="inlineStr">
        <is>
          <t>9月</t>
        </is>
      </c>
      <c r="D139" s="225" t="n">
        <v>5600</v>
      </c>
      <c r="E139" s="225" t="n">
        <v>3715</v>
      </c>
      <c r="F139" s="225" t="n">
        <v>0.6633928571428571</v>
      </c>
      <c r="G139" s="225" t="n">
        <v>30</v>
      </c>
      <c r="H139" s="225" t="n">
        <v>39</v>
      </c>
      <c r="I139" s="225" t="n">
        <v>1.3</v>
      </c>
      <c r="J139" s="225" t="inlineStr">
        <is>
          <t>上期</t>
        </is>
      </c>
    </row>
    <row r="140">
      <c r="A140" s="225" t="inlineStr">
        <is>
          <t>外部小計</t>
        </is>
      </c>
      <c r="B140" s="225" t="inlineStr">
        <is>
          <t>総計</t>
        </is>
      </c>
      <c r="C140" s="225" t="inlineStr">
        <is>
          <t>10月</t>
        </is>
      </c>
      <c r="D140" s="225" t="n">
        <v>5600</v>
      </c>
      <c r="E140" s="225" t="n">
        <v>3505</v>
      </c>
      <c r="F140" s="225" t="n">
        <v>0.6258928571428571</v>
      </c>
      <c r="G140" s="225" t="n">
        <v>30</v>
      </c>
      <c r="H140" s="225" t="n">
        <v>31</v>
      </c>
      <c r="I140" s="225" t="n">
        <v>1.033333333333333</v>
      </c>
      <c r="J140" s="225" t="inlineStr">
        <is>
          <t>下期</t>
        </is>
      </c>
    </row>
    <row r="141">
      <c r="A141" s="225" t="inlineStr">
        <is>
          <t>外部小計</t>
        </is>
      </c>
      <c r="B141" s="225" t="inlineStr">
        <is>
          <t>総計</t>
        </is>
      </c>
      <c r="C141" s="225" t="inlineStr">
        <is>
          <t>11月</t>
        </is>
      </c>
      <c r="D141" s="225" t="n">
        <v>5600</v>
      </c>
      <c r="E141" s="225" t="n">
        <v>4125</v>
      </c>
      <c r="F141" s="225" t="n">
        <v>0.7366071428571429</v>
      </c>
      <c r="G141" s="225" t="n">
        <v>30</v>
      </c>
      <c r="H141" s="225" t="n">
        <v>29</v>
      </c>
      <c r="I141" s="225" t="n">
        <v>0.9666666666666667</v>
      </c>
      <c r="J141" s="225" t="inlineStr">
        <is>
          <t>下期</t>
        </is>
      </c>
    </row>
    <row r="142">
      <c r="A142" s="225" t="inlineStr">
        <is>
          <t>外部小計</t>
        </is>
      </c>
      <c r="B142" s="225" t="inlineStr">
        <is>
          <t>総計</t>
        </is>
      </c>
      <c r="C142" s="225" t="inlineStr">
        <is>
          <t>12月</t>
        </is>
      </c>
      <c r="D142" s="225" t="n">
        <v>5600</v>
      </c>
      <c r="E142" s="225" t="n">
        <v>0</v>
      </c>
      <c r="F142" s="225" t="n">
        <v>0</v>
      </c>
      <c r="G142" s="225" t="n">
        <v>30</v>
      </c>
      <c r="I142" s="225" t="n">
        <v>0</v>
      </c>
      <c r="J142" s="225" t="inlineStr">
        <is>
          <t>下期</t>
        </is>
      </c>
    </row>
    <row r="143">
      <c r="A143" s="225" t="inlineStr">
        <is>
          <t>外部小計</t>
        </is>
      </c>
      <c r="B143" s="225" t="inlineStr">
        <is>
          <t>総計</t>
        </is>
      </c>
      <c r="C143" s="225" t="inlineStr">
        <is>
          <t>1月</t>
        </is>
      </c>
      <c r="D143" s="225" t="n">
        <v>5600</v>
      </c>
      <c r="E143" s="225" t="n">
        <v>0</v>
      </c>
      <c r="F143" s="225" t="n">
        <v>0</v>
      </c>
      <c r="G143" s="225" t="n">
        <v>30</v>
      </c>
      <c r="I143" s="225" t="n">
        <v>0</v>
      </c>
      <c r="J143" s="225" t="inlineStr">
        <is>
          <t>下期</t>
        </is>
      </c>
    </row>
    <row r="144">
      <c r="A144" s="225" t="inlineStr">
        <is>
          <t>外部小計</t>
        </is>
      </c>
      <c r="B144" s="225" t="inlineStr">
        <is>
          <t>総計</t>
        </is>
      </c>
      <c r="C144" s="225" t="inlineStr">
        <is>
          <t>2月</t>
        </is>
      </c>
      <c r="D144" s="225" t="n">
        <v>5600</v>
      </c>
      <c r="E144" s="225" t="n">
        <v>0</v>
      </c>
      <c r="F144" s="225" t="n">
        <v>0</v>
      </c>
      <c r="G144" s="225" t="n">
        <v>30</v>
      </c>
      <c r="I144" s="225" t="n">
        <v>0</v>
      </c>
      <c r="J144" s="225" t="inlineStr">
        <is>
          <t>下期</t>
        </is>
      </c>
    </row>
    <row r="145">
      <c r="A145" s="225" t="inlineStr">
        <is>
          <t>外部小計</t>
        </is>
      </c>
      <c r="B145" s="225" t="inlineStr">
        <is>
          <t>総計</t>
        </is>
      </c>
      <c r="C145" s="225" t="inlineStr">
        <is>
          <t>3月</t>
        </is>
      </c>
      <c r="D145" s="225" t="n">
        <v>5600</v>
      </c>
      <c r="E145" s="225" t="n">
        <v>0</v>
      </c>
      <c r="F145" s="225" t="n">
        <v>0</v>
      </c>
      <c r="G145" s="225" t="n">
        <v>30</v>
      </c>
      <c r="I145" s="225" t="n">
        <v>0</v>
      </c>
      <c r="J145" s="225" t="inlineStr">
        <is>
          <t>下期</t>
        </is>
      </c>
    </row>
    <row r="146">
      <c r="A146" s="225" t="inlineStr">
        <is>
          <t>外部小計</t>
        </is>
      </c>
      <c r="B146" s="225" t="inlineStr">
        <is>
          <t>上期総計</t>
        </is>
      </c>
      <c r="C146" s="225" t="inlineStr">
        <is>
          <t>総計</t>
        </is>
      </c>
      <c r="D146" s="225" t="n">
        <v>33600</v>
      </c>
      <c r="E146" s="225" t="n">
        <v>24859</v>
      </c>
      <c r="F146" s="225" t="n">
        <v>0.7398511904761905</v>
      </c>
      <c r="G146" s="225" t="n">
        <v>180</v>
      </c>
      <c r="H146" s="225" t="n">
        <v>228</v>
      </c>
      <c r="I146" s="225" t="n">
        <v>1.266666666666667</v>
      </c>
      <c r="J146" s="225" t="inlineStr">
        <is>
          <t>上期</t>
        </is>
      </c>
    </row>
    <row r="147">
      <c r="A147" s="225" t="inlineStr">
        <is>
          <t>外部小計</t>
        </is>
      </c>
      <c r="B147" s="225" t="inlineStr">
        <is>
          <t>下期総計</t>
        </is>
      </c>
      <c r="C147" s="225" t="inlineStr">
        <is>
          <t>総計</t>
        </is>
      </c>
      <c r="D147" s="225" t="n">
        <v>33600</v>
      </c>
      <c r="E147" s="225" t="n">
        <v>7630</v>
      </c>
      <c r="F147" s="225" t="n">
        <v>0.2270833333333333</v>
      </c>
      <c r="G147" s="225" t="n">
        <v>180</v>
      </c>
      <c r="H147" s="225" t="n">
        <v>60</v>
      </c>
      <c r="I147" s="225" t="n">
        <v>0.3333333333333333</v>
      </c>
      <c r="J147" s="225" t="inlineStr">
        <is>
          <t>下期</t>
        </is>
      </c>
    </row>
    <row r="148">
      <c r="A148" s="225" t="inlineStr">
        <is>
          <t>外部小計</t>
        </is>
      </c>
      <c r="B148" s="225" t="inlineStr">
        <is>
          <t>年間総計</t>
        </is>
      </c>
      <c r="C148" s="225" t="inlineStr">
        <is>
          <t>総計</t>
        </is>
      </c>
      <c r="D148" s="225" t="n">
        <v>67200</v>
      </c>
      <c r="E148" s="225" t="n">
        <v>32489</v>
      </c>
      <c r="F148" s="225" t="n">
        <v>0.4834672619047619</v>
      </c>
      <c r="G148" s="225" t="n">
        <v>360</v>
      </c>
      <c r="H148" s="225" t="n">
        <v>288</v>
      </c>
      <c r="I148" s="225" t="n">
        <v>0.8</v>
      </c>
      <c r="J148" s="225" t="inlineStr">
        <is>
          <t>通期</t>
        </is>
      </c>
    </row>
    <row r="150">
      <c r="A150" s="156" t="inlineStr">
        <is>
          <t>カテゴリ</t>
        </is>
      </c>
      <c r="B150" s="225" t="inlineStr">
        <is>
          <t>内部</t>
        </is>
      </c>
    </row>
    <row r="151">
      <c r="A151" s="156" t="inlineStr">
        <is>
          <t>サブカテゴリ</t>
        </is>
      </c>
      <c r="B151" s="225" t="inlineStr">
        <is>
          <t>支援人数</t>
        </is>
      </c>
    </row>
    <row r="153">
      <c r="A153" s="156" t="inlineStr">
        <is>
          <t>Row Labels</t>
        </is>
      </c>
      <c r="B153" s="225" t="inlineStr">
        <is>
          <t>Sum of 人数目標</t>
        </is>
      </c>
      <c r="C153" s="225" t="inlineStr">
        <is>
          <t>Sum of 人数実績</t>
        </is>
      </c>
    </row>
    <row r="154">
      <c r="A154" s="157" t="inlineStr">
        <is>
          <t>上期</t>
        </is>
      </c>
      <c r="B154" s="225" t="n">
        <v>90</v>
      </c>
      <c r="C154" s="225" t="n">
        <v>102</v>
      </c>
    </row>
    <row r="155">
      <c r="A155" s="157" t="inlineStr">
        <is>
          <t>下期</t>
        </is>
      </c>
      <c r="B155" s="225" t="n">
        <v>90</v>
      </c>
      <c r="C155" s="225" t="n">
        <v>37</v>
      </c>
    </row>
    <row r="156">
      <c r="A156" s="157" t="inlineStr">
        <is>
          <t>Grand Total</t>
        </is>
      </c>
      <c r="B156" s="225" t="n">
        <v>180</v>
      </c>
      <c r="C156" s="225" t="n">
        <v>139</v>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4:J43"/>
  <sheetViews>
    <sheetView tabSelected="1" workbookViewId="0">
      <selection activeCell="O52" sqref="O52"/>
    </sheetView>
  </sheetViews>
  <sheetFormatPr baseColWidth="8" defaultRowHeight="14.25"/>
  <cols>
    <col width="12.33203125" bestFit="1" customWidth="1" style="154" min="1" max="1"/>
    <col width="11.53125" bestFit="1" customWidth="1" style="154" min="2" max="3"/>
    <col width="8.46484375" customWidth="1" style="154" min="4" max="4"/>
    <col width="3.53125" customWidth="1" style="154" min="5" max="5"/>
    <col width="12.33203125" bestFit="1" customWidth="1" style="154" min="6" max="6"/>
    <col width="11.53125" bestFit="1" customWidth="1" style="154" min="7" max="8"/>
    <col width="13.9296875" bestFit="1" customWidth="1" style="154" min="9" max="9"/>
    <col width="3" customWidth="1" style="154" min="10" max="10"/>
    <col width="11.53125" bestFit="1" customWidth="1" style="154" min="11" max="11"/>
    <col width="13.9296875" bestFit="1" customWidth="1" style="154" min="12" max="12"/>
  </cols>
  <sheetData>
    <row r="4">
      <c r="H4" s="232" t="n"/>
      <c r="I4" s="232" t="n"/>
      <c r="J4" s="227" t="n"/>
    </row>
    <row r="5" ht="14.25" customHeight="1" s="154">
      <c r="H5" s="251" t="inlineStr">
        <is>
          <t>2025年度</t>
        </is>
      </c>
      <c r="J5" s="227" t="n"/>
    </row>
    <row r="6">
      <c r="A6" s="241" t="inlineStr">
        <is>
          <t>目標 合計</t>
        </is>
      </c>
      <c r="B6" s="241" t="inlineStr">
        <is>
          <t>実績 合計</t>
        </is>
      </c>
      <c r="C6" s="241" t="inlineStr">
        <is>
          <t>達成率</t>
        </is>
      </c>
      <c r="J6" s="227" t="n"/>
    </row>
    <row r="7">
      <c r="A7" s="242">
        <f>GETPIVOTDATA("目標", $B$27)</f>
        <v/>
      </c>
      <c r="B7" s="242">
        <f>GETPIVOTDATA("実績",$C$27)</f>
        <v/>
      </c>
      <c r="C7" s="163">
        <f>IF(B27=0,0,C27/B27)</f>
        <v/>
      </c>
      <c r="F7" s="240" t="inlineStr">
        <is>
          <t>期間別 小計</t>
        </is>
      </c>
      <c r="H7" s="184" t="n"/>
      <c r="I7" s="184" t="n"/>
      <c r="J7" s="227" t="n"/>
    </row>
    <row r="8">
      <c r="E8" s="227" t="n"/>
      <c r="F8" s="228" t="inlineStr">
        <is>
          <t>Row Labels</t>
        </is>
      </c>
      <c r="G8" s="228" t="inlineStr">
        <is>
          <t>Sum of 目標</t>
        </is>
      </c>
      <c r="H8" s="228" t="inlineStr">
        <is>
          <t>Sum of 実績</t>
        </is>
      </c>
      <c r="I8" s="229" t="inlineStr">
        <is>
          <t>達成率</t>
        </is>
      </c>
      <c r="J8" s="227" t="n"/>
    </row>
    <row r="9">
      <c r="E9" s="227" t="n"/>
      <c r="F9" s="235" t="inlineStr">
        <is>
          <t>上期</t>
        </is>
      </c>
      <c r="G9" s="226" t="n">
        <v>102000</v>
      </c>
      <c r="H9" s="226" t="n">
        <v>75273</v>
      </c>
      <c r="I9" s="163">
        <f>GETPIVOTDATA("Sum of 実績",$F$8,"Period","上期")/GETPIVOTDATA("Sum of 目標",$F$8,"Period","上期")</f>
        <v/>
      </c>
      <c r="J9" s="227" t="n"/>
    </row>
    <row r="10">
      <c r="E10" s="227" t="n"/>
      <c r="F10" s="235" t="inlineStr">
        <is>
          <t>下期</t>
        </is>
      </c>
      <c r="G10" s="226" t="n">
        <v>102400</v>
      </c>
      <c r="H10" s="226" t="n">
        <v>23432</v>
      </c>
      <c r="I10" s="163">
        <f>GETPIVOTDATA("Sum of 実績",$F$8,"Period","下期")/GETPIVOTDATA("Sum of 目標",$F$8,"Period","下期")</f>
        <v/>
      </c>
      <c r="J10" s="227" t="n"/>
    </row>
    <row r="11">
      <c r="E11" s="227" t="n"/>
      <c r="F11" s="162" t="inlineStr">
        <is>
          <t>通期</t>
        </is>
      </c>
      <c r="G11" s="226" t="n">
        <v>67200</v>
      </c>
      <c r="H11" s="226" t="n">
        <v>32489</v>
      </c>
      <c r="I11" s="231">
        <f>GETPIVOTDATA("Sum of 実績",$F$8)/GETPIVOTDATA("Sum of 目標",$F$8)</f>
        <v/>
      </c>
      <c r="J11" s="227" t="n"/>
    </row>
    <row r="12">
      <c r="E12" s="227" t="n"/>
      <c r="F12" s="236" t="inlineStr">
        <is>
          <t>Grand Total</t>
        </is>
      </c>
      <c r="G12" s="234" t="n">
        <v>271600</v>
      </c>
      <c r="H12" s="234" t="n">
        <v>131194</v>
      </c>
      <c r="I12" s="155" t="n"/>
      <c r="J12" s="227" t="n"/>
    </row>
    <row r="13">
      <c r="A13" s="227" t="n"/>
      <c r="B13" s="227" t="n"/>
      <c r="C13" s="227" t="n"/>
      <c r="D13" s="227" t="n"/>
      <c r="E13" s="227" t="n"/>
      <c r="F13" s="227" t="n"/>
      <c r="G13" s="227" t="n"/>
      <c r="H13" s="227" t="n"/>
      <c r="I13" s="227" t="n"/>
      <c r="J13" s="227" t="n"/>
    </row>
    <row r="14">
      <c r="A14" s="228" t="inlineStr">
        <is>
          <t>Row Labels</t>
        </is>
      </c>
      <c r="B14" s="228" t="inlineStr">
        <is>
          <t>Sum of 目標</t>
        </is>
      </c>
      <c r="C14" s="228" t="inlineStr">
        <is>
          <t>Sum of 実績</t>
        </is>
      </c>
      <c r="D14" s="229" t="inlineStr">
        <is>
          <t>達成率</t>
        </is>
      </c>
      <c r="E14" s="227" t="n"/>
      <c r="J14" s="227" t="n"/>
    </row>
    <row r="15">
      <c r="A15" s="162" t="inlineStr">
        <is>
          <t>10月</t>
        </is>
      </c>
      <c r="B15" s="226" t="n">
        <v>11600</v>
      </c>
      <c r="C15" s="226" t="n">
        <v>7117</v>
      </c>
      <c r="D15" s="163">
        <f>GETPIVOTDATA("Sum of 実績",$A$14,"月","10月")/GETPIVOTDATA("Sum of 目標",$A$14,"月","10月")</f>
        <v/>
      </c>
      <c r="E15" s="227" t="n"/>
      <c r="J15" s="227" t="n"/>
    </row>
    <row r="16">
      <c r="A16" s="162" t="inlineStr">
        <is>
          <t>11月</t>
        </is>
      </c>
      <c r="B16" s="226" t="n">
        <v>11600</v>
      </c>
      <c r="C16" s="226" t="n">
        <v>8685</v>
      </c>
      <c r="D16" s="163">
        <f>GETPIVOTDATA("Sum of 実績",$A$14,"月","11月")/GETPIVOTDATA("Sum of 目標",$A$14,"月","11月")</f>
        <v/>
      </c>
      <c r="E16" s="227" t="n"/>
      <c r="J16" s="227" t="n"/>
    </row>
    <row r="17">
      <c r="A17" s="162" t="inlineStr">
        <is>
          <t>12月</t>
        </is>
      </c>
      <c r="B17" s="226" t="n">
        <v>11200</v>
      </c>
      <c r="C17" s="226" t="n">
        <v>0</v>
      </c>
      <c r="D17" s="163">
        <f>GETPIVOTDATA("Sum of 実績",$A$14,"月","12月")/GETPIVOTDATA("Sum of 目標",$A$14,"月","12月")</f>
        <v/>
      </c>
      <c r="E17" s="227" t="n"/>
      <c r="J17" s="227" t="n"/>
    </row>
    <row r="18">
      <c r="A18" s="162" t="inlineStr">
        <is>
          <t>1月</t>
        </is>
      </c>
      <c r="B18" s="226" t="n">
        <v>11600</v>
      </c>
      <c r="C18" s="226" t="n">
        <v>0</v>
      </c>
      <c r="D18" s="163">
        <f>GETPIVOTDATA("Sum of 実績",$A$14,"月","1月")/GETPIVOTDATA("Sum of 目標",$A$14,"月","1月")</f>
        <v/>
      </c>
      <c r="E18" s="227" t="n"/>
      <c r="J18" s="227" t="n"/>
    </row>
    <row r="19">
      <c r="A19" s="162" t="inlineStr">
        <is>
          <t>2月</t>
        </is>
      </c>
      <c r="B19" s="226" t="n">
        <v>11200</v>
      </c>
      <c r="C19" s="226" t="n">
        <v>0</v>
      </c>
      <c r="D19" s="163">
        <f>GETPIVOTDATA("Sum of 実績",$A$14,"月","2月")/GETPIVOTDATA("Sum of 目標",$A$14,"月","2月")</f>
        <v/>
      </c>
      <c r="E19" s="227" t="n"/>
      <c r="J19" s="227" t="n"/>
    </row>
    <row r="20">
      <c r="A20" s="162" t="inlineStr">
        <is>
          <t>3月</t>
        </is>
      </c>
      <c r="B20" s="226" t="n">
        <v>11600</v>
      </c>
      <c r="C20" s="226" t="n">
        <v>0</v>
      </c>
      <c r="D20" s="163" t="n"/>
      <c r="E20" s="227" t="n"/>
      <c r="J20" s="227" t="n"/>
    </row>
    <row r="21">
      <c r="A21" s="162" t="inlineStr">
        <is>
          <t>4月</t>
        </is>
      </c>
      <c r="B21" s="226" t="n">
        <v>11200</v>
      </c>
      <c r="C21" s="226" t="n">
        <v>7388</v>
      </c>
      <c r="D21" s="163">
        <f>GETPIVOTDATA("Sum of 実績",$A$14,"月","4月")/GETPIVOTDATA("Sum of 目標",$A$14,"月","4月")</f>
        <v/>
      </c>
      <c r="E21" s="227" t="n"/>
      <c r="J21" s="227" t="n"/>
    </row>
    <row r="22">
      <c r="A22" s="162" t="inlineStr">
        <is>
          <t>5月</t>
        </is>
      </c>
      <c r="B22" s="226" t="n">
        <v>11600</v>
      </c>
      <c r="C22" s="226" t="n">
        <v>10419</v>
      </c>
      <c r="D22" s="163">
        <f>GETPIVOTDATA("Sum of 実績",$A$14,"月","5月")/GETPIVOTDATA("Sum of 目標",$A$14,"月","5月")</f>
        <v/>
      </c>
      <c r="E22" s="227" t="n"/>
      <c r="J22" s="227" t="n"/>
    </row>
    <row r="23">
      <c r="A23" s="162" t="inlineStr">
        <is>
          <t>6月</t>
        </is>
      </c>
      <c r="B23" s="226" t="n">
        <v>11200</v>
      </c>
      <c r="C23" s="226" t="n">
        <v>10937</v>
      </c>
      <c r="D23" s="163">
        <f>GETPIVOTDATA("Sum of 実績",$A$14,"月","6月")/GETPIVOTDATA("Sum of 目標",$A$14,"月","6月")</f>
        <v/>
      </c>
      <c r="E23" s="227" t="n"/>
      <c r="J23" s="227" t="n"/>
    </row>
    <row r="24">
      <c r="A24" s="162" t="inlineStr">
        <is>
          <t>7月</t>
        </is>
      </c>
      <c r="B24" s="226" t="n">
        <v>11600</v>
      </c>
      <c r="C24" s="226" t="n">
        <v>6494</v>
      </c>
      <c r="D24" s="163">
        <f>GETPIVOTDATA("Sum of 実績",$A$14,"月","7月")/GETPIVOTDATA("Sum of 目標",$A$14,"月","7月")</f>
        <v/>
      </c>
      <c r="E24" s="227" t="n"/>
      <c r="J24" s="227" t="n"/>
    </row>
    <row r="25">
      <c r="A25" s="162" t="inlineStr">
        <is>
          <t>8月</t>
        </is>
      </c>
      <c r="B25" s="226" t="n">
        <v>11200</v>
      </c>
      <c r="C25" s="226" t="n">
        <v>7664</v>
      </c>
      <c r="D25" s="163">
        <f>GETPIVOTDATA("Sum of 実績",$A$14,"月","8月")/GETPIVOTDATA("Sum of 目標",$A$14,"月","8月")</f>
        <v/>
      </c>
      <c r="E25" s="227" t="n"/>
      <c r="J25" s="227" t="n"/>
    </row>
    <row r="26">
      <c r="A26" s="162" t="inlineStr">
        <is>
          <t>9月</t>
        </is>
      </c>
      <c r="B26" s="226" t="n">
        <v>11600</v>
      </c>
      <c r="C26" s="226" t="n">
        <v>7512</v>
      </c>
      <c r="D26" s="163">
        <f>GETPIVOTDATA("Sum of 実績",$A$14,"月","9月")/GETPIVOTDATA("Sum of 目標",$A$14,"月","9月")</f>
        <v/>
      </c>
      <c r="E26" s="227" t="n"/>
      <c r="J26" s="227" t="n"/>
    </row>
    <row r="27">
      <c r="A27" s="162" t="inlineStr">
        <is>
          <t>総計</t>
        </is>
      </c>
      <c r="B27" s="226" t="n">
        <v>134400</v>
      </c>
      <c r="C27" s="226" t="n">
        <v>64978</v>
      </c>
      <c r="D27" s="237">
        <f>GETPIVOTDATA("Sum of 実績",$A$14)/GETPIVOTDATA("Sum of 目標",$A$14)</f>
        <v/>
      </c>
      <c r="E27" s="227" t="n"/>
      <c r="J27" s="227" t="n"/>
    </row>
    <row r="28">
      <c r="A28" s="236" t="inlineStr">
        <is>
          <t>Grand Total</t>
        </is>
      </c>
      <c r="B28" s="234" t="n">
        <v>271600</v>
      </c>
      <c r="C28" s="234" t="n">
        <v>131194</v>
      </c>
      <c r="D28" s="230">
        <f>GETPIVOTDATA("Sum of 実績",$A$14)/GETPIVOTDATA("Sum of 目標",$A$14)</f>
        <v/>
      </c>
      <c r="E28" s="227" t="n"/>
      <c r="J28" s="227" t="n"/>
    </row>
    <row r="29">
      <c r="A29" s="227" t="n"/>
      <c r="B29" s="227" t="n"/>
      <c r="C29" s="227" t="n"/>
      <c r="D29" s="227" t="n"/>
      <c r="E29" s="227" t="n"/>
      <c r="F29" s="227" t="n"/>
      <c r="G29" s="227" t="n"/>
      <c r="H29" s="227" t="n"/>
      <c r="I29" s="227" t="n"/>
      <c r="J29" s="227" t="n"/>
    </row>
    <row r="30">
      <c r="E30" s="227" t="n"/>
      <c r="J30" s="227" t="n"/>
    </row>
    <row r="31">
      <c r="E31" s="227" t="n"/>
      <c r="J31" s="227" t="n"/>
    </row>
    <row r="32">
      <c r="E32" s="227" t="n"/>
      <c r="J32" s="227" t="n"/>
    </row>
    <row r="33">
      <c r="E33" s="227" t="n"/>
      <c r="J33" s="227" t="n"/>
    </row>
    <row r="34">
      <c r="E34" s="227" t="n"/>
      <c r="J34" s="227" t="n"/>
    </row>
    <row r="35">
      <c r="E35" s="227" t="n"/>
      <c r="J35" s="227" t="n"/>
    </row>
    <row r="36">
      <c r="E36" s="227" t="n"/>
      <c r="J36" s="227" t="n"/>
    </row>
    <row r="37">
      <c r="E37" s="227" t="n"/>
      <c r="J37" s="227" t="n"/>
    </row>
    <row r="38">
      <c r="E38" s="227" t="n"/>
      <c r="J38" s="227" t="n"/>
    </row>
    <row r="39">
      <c r="E39" s="227" t="n"/>
      <c r="J39" s="227" t="n"/>
    </row>
    <row r="40">
      <c r="E40" s="227" t="n"/>
      <c r="J40" s="227" t="n"/>
    </row>
    <row r="41">
      <c r="E41" s="227" t="n"/>
      <c r="J41" s="227" t="n"/>
    </row>
    <row r="42">
      <c r="E42" s="227" t="n"/>
      <c r="J42" s="227" t="n"/>
    </row>
    <row r="43">
      <c r="A43" s="227" t="n"/>
      <c r="B43" s="227" t="n"/>
      <c r="C43" s="227" t="n"/>
      <c r="D43" s="227" t="n"/>
      <c r="E43" s="227" t="n"/>
      <c r="F43" s="227" t="n"/>
      <c r="G43" s="227" t="n"/>
      <c r="H43" s="227" t="n"/>
      <c r="I43" s="227" t="n"/>
      <c r="J43" s="227" t="n"/>
    </row>
  </sheetData>
  <mergeCells count="1">
    <mergeCell ref="H5:I7"/>
  </mergeCells>
  <conditionalFormatting sqref="C7">
    <cfRule type="cellIs" priority="3" operator="greaterThanOrEqual" dxfId="176">
      <formula>80</formula>
    </cfRule>
    <cfRule type="cellIs" priority="2" operator="between" dxfId="175">
      <formula>60</formula>
      <formula>79.9</formula>
    </cfRule>
    <cfRule type="cellIs" priority="1" operator="lessThan" dxfId="177">
      <formula>60</formula>
    </cfRule>
  </conditionalFormatting>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shc093</dc:creator>
  <dcterms:created xmlns:dcterms="http://purl.org/dc/terms/" xmlns:xsi="http://www.w3.org/2001/XMLSchema-instance" xsi:type="dcterms:W3CDTF">2025-01-24T02:56:13Z</dcterms:created>
  <dcterms:modified xmlns:dcterms="http://purl.org/dc/terms/" xmlns:xsi="http://www.w3.org/2001/XMLSchema-instance" xsi:type="dcterms:W3CDTF">2025-12-10T16:58:47Z</dcterms:modified>
  <cp:lastModifiedBy>min min</cp:lastModifiedBy>
  <cp:lastPrinted>2025-12-04T00:49:34Z</cp:lastPrinted>
</cp:coreProperties>
</file>