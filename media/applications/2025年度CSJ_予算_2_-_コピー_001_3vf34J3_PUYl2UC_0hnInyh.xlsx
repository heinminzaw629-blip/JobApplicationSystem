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Override PartName="/xl/threadedComments/threadedComment1.xml" ContentType="application/vnd.ms-excel.threadedcomments+xml"/>
  <Override PartName="/xl/threadedComments/threadedComment2.xml" ContentType="application/vnd.ms-excel.threadedcomments+xml"/>
  <Override PartName="/xl/threadedComments/threadedComment3.xml" ContentType="application/vnd.ms-excel.threadedcomments+xml"/>
  <Override PartName="/xl/threadedComments/threadedComment4.xml" ContentType="application/vnd.ms-excel.threadedcomments+xml"/>
  <Override PartName="/xl/threadedComments/threadedComment5.xml" ContentType="application/vnd.ms-excel.threadedcomments+xml"/>
  <Override PartName="/xl/threadedComments/threadedComment6.xml" ContentType="application/vnd.ms-excel.threadedcomments+xml"/>
  <Override PartName="/xl/threadedComments/threadedComment7.xml" ContentType="application/vnd.ms-excel.threadedcomments+xml"/>
  <Override PartName="/xl/threadedComments/threadedComment8.xml" ContentType="application/vnd.ms-excel.threaded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C:\Users\heinminzaw\Downloads\"/>
    </mc:Choice>
  </mc:AlternateContent>
  <xr:revisionPtr revIDLastSave="0" documentId="13_ncr:1_{4746D052-5C4C-4794-9620-30425EB8EAF7}" xr6:coauthVersionLast="47" xr6:coauthVersionMax="47" xr10:uidLastSave="{00000000-0000-0000-0000-000000000000}"/>
  <bookViews>
    <workbookView xWindow="43080" yWindow="5745" windowWidth="29040" windowHeight="15840" activeTab="1" xr2:uid="{4208C52B-D924-40B5-AA8B-EE2A5A04D2E5}"/>
  </bookViews>
  <sheets>
    <sheet name="中 計 " sheetId="11" r:id="rId1"/>
    <sheet name="2025年度・上半期と下期 12月05日     " sheetId="18" r:id="rId2"/>
    <sheet name="2025年度・上半期と下期 11月07日    " sheetId="17" r:id="rId3"/>
    <sheet name="2025年度・上半期と下期 10月24日   " sheetId="16" r:id="rId4"/>
    <sheet name="2025年度・上半期と下期 10月03日  " sheetId="15" r:id="rId5"/>
    <sheet name="2025年度・上半期と下期 9月26日  " sheetId="14" r:id="rId6"/>
    <sheet name="2025年度・上半期と下期 ７月25日 " sheetId="13" r:id="rId7"/>
    <sheet name="2025年度・上半期と下期 ７月18日" sheetId="12" r:id="rId8"/>
    <sheet name="2025年度・上半期と下期" sheetId="9" r:id="rId9"/>
  </sheets>
  <definedNames>
    <definedName name="_xlnm.Print_Area" localSheetId="8">'2025年度・上半期と下期'!$A$2:$AX$25</definedName>
    <definedName name="_xlnm.Print_Area" localSheetId="4">'2025年度・上半期と下期 10月03日  '!$A$2:$AX$25</definedName>
    <definedName name="_xlnm.Print_Area" localSheetId="3">'2025年度・上半期と下期 10月24日   '!$A$2:$AX$25</definedName>
    <definedName name="_xlnm.Print_Area" localSheetId="2">'2025年度・上半期と下期 11月07日    '!$A$2:$AX$25</definedName>
    <definedName name="_xlnm.Print_Area" localSheetId="1">'2025年度・上半期と下期 12月05日     '!$A$2:$AX$26</definedName>
    <definedName name="_xlnm.Print_Area" localSheetId="7">'2025年度・上半期と下期 ７月18日'!$A$2:$AX$25</definedName>
    <definedName name="_xlnm.Print_Area" localSheetId="6">'2025年度・上半期と下期 ７月25日 '!$A$2:$AX$25</definedName>
    <definedName name="_xlnm.Print_Area" localSheetId="5">'2025年度・上半期と下期 9月26日  '!$A$2:$AX$25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V6" i="18" l="1"/>
  <c r="G14" i="18"/>
  <c r="G15" i="18"/>
  <c r="G16" i="18"/>
  <c r="G13" i="18"/>
  <c r="J14" i="18"/>
  <c r="J15" i="18"/>
  <c r="J16" i="18"/>
  <c r="M14" i="18"/>
  <c r="M15" i="18"/>
  <c r="M16" i="18"/>
  <c r="P14" i="18"/>
  <c r="P15" i="18"/>
  <c r="P16" i="18"/>
  <c r="S14" i="18"/>
  <c r="S15" i="18"/>
  <c r="S16" i="18"/>
  <c r="V14" i="18"/>
  <c r="V15" i="18"/>
  <c r="V16" i="18"/>
  <c r="AB14" i="18"/>
  <c r="AB15" i="18"/>
  <c r="AB16" i="18"/>
  <c r="AE14" i="18"/>
  <c r="AE15" i="18"/>
  <c r="AE16" i="18"/>
  <c r="AE13" i="18"/>
  <c r="AB8" i="18"/>
  <c r="AB9" i="18"/>
  <c r="AB10" i="18"/>
  <c r="AB13" i="18"/>
  <c r="AE8" i="18"/>
  <c r="AE9" i="18"/>
  <c r="AE10" i="18"/>
  <c r="AS13" i="18"/>
  <c r="AJ17" i="18"/>
  <c r="AJ18" i="18" l="1"/>
  <c r="I24" i="18"/>
  <c r="AU16" i="18"/>
  <c r="AS16" i="18"/>
  <c r="AT16" i="18" s="1"/>
  <c r="AS15" i="18"/>
  <c r="AT15" i="18" s="1"/>
  <c r="AR15" i="18"/>
  <c r="AS14" i="18"/>
  <c r="AR14" i="18"/>
  <c r="AP17" i="18"/>
  <c r="AP18" i="18" s="1"/>
  <c r="AO17" i="18"/>
  <c r="AO18" i="18" s="1"/>
  <c r="AQ14" i="18"/>
  <c r="AQ15" i="18"/>
  <c r="AQ16" i="18"/>
  <c r="AQ13" i="18"/>
  <c r="AM17" i="18"/>
  <c r="AM18" i="18" s="1"/>
  <c r="AL17" i="18"/>
  <c r="AL18" i="18" s="1"/>
  <c r="AN14" i="18"/>
  <c r="AN15" i="18"/>
  <c r="AN16" i="18"/>
  <c r="AN13" i="18"/>
  <c r="AI17" i="18"/>
  <c r="AK14" i="18"/>
  <c r="AK15" i="18"/>
  <c r="AK16" i="18"/>
  <c r="AK13" i="18"/>
  <c r="AG17" i="18"/>
  <c r="AG18" i="18" s="1"/>
  <c r="AF17" i="18"/>
  <c r="AH14" i="18"/>
  <c r="AH15" i="18"/>
  <c r="AH16" i="18"/>
  <c r="AH13" i="18"/>
  <c r="AD17" i="18"/>
  <c r="AC17" i="18"/>
  <c r="AA17" i="18"/>
  <c r="Z17" i="18"/>
  <c r="X16" i="18"/>
  <c r="Y16" i="18" s="1"/>
  <c r="X15" i="18"/>
  <c r="X14" i="18"/>
  <c r="X13" i="18"/>
  <c r="W15" i="18"/>
  <c r="W14" i="18"/>
  <c r="AU14" i="18" s="1"/>
  <c r="W13" i="18"/>
  <c r="U17" i="18"/>
  <c r="T17" i="18"/>
  <c r="T18" i="18" s="1"/>
  <c r="V13" i="18"/>
  <c r="R17" i="18"/>
  <c r="R18" i="18" s="1"/>
  <c r="Q17" i="18"/>
  <c r="S13" i="18"/>
  <c r="O17" i="18"/>
  <c r="O18" i="18" s="1"/>
  <c r="N17" i="18"/>
  <c r="P13" i="18"/>
  <c r="M13" i="18"/>
  <c r="L17" i="18"/>
  <c r="K17" i="18"/>
  <c r="J13" i="18"/>
  <c r="I17" i="18"/>
  <c r="H17" i="18"/>
  <c r="H18" i="18" s="1"/>
  <c r="F17" i="18"/>
  <c r="E17" i="18"/>
  <c r="AV10" i="18"/>
  <c r="AV9" i="18"/>
  <c r="AT9" i="18"/>
  <c r="AT10" i="18"/>
  <c r="AT11" i="18"/>
  <c r="AT8" i="18"/>
  <c r="AQ9" i="18"/>
  <c r="AQ10" i="18"/>
  <c r="AQ8" i="18"/>
  <c r="AO11" i="18"/>
  <c r="AQ11" i="18" s="1"/>
  <c r="AN9" i="18"/>
  <c r="AN10" i="18"/>
  <c r="AN11" i="18"/>
  <c r="AN8" i="18"/>
  <c r="AK9" i="18"/>
  <c r="AK10" i="18"/>
  <c r="AK8" i="18"/>
  <c r="AI11" i="18"/>
  <c r="AK11" i="18" s="1"/>
  <c r="AH9" i="18"/>
  <c r="AH10" i="18"/>
  <c r="AH11" i="18"/>
  <c r="AH8" i="18"/>
  <c r="AC11" i="18"/>
  <c r="AE11" i="18" s="1"/>
  <c r="Z11" i="18"/>
  <c r="AB11" i="18" s="1"/>
  <c r="W10" i="18"/>
  <c r="AU10" i="18" s="1"/>
  <c r="W9" i="18"/>
  <c r="AU9" i="18" s="1"/>
  <c r="W8" i="18"/>
  <c r="Y8" i="18" s="1"/>
  <c r="V9" i="18"/>
  <c r="V10" i="18"/>
  <c r="V8" i="18"/>
  <c r="T11" i="18"/>
  <c r="V11" i="18" s="1"/>
  <c r="S9" i="18"/>
  <c r="S10" i="18"/>
  <c r="S8" i="18"/>
  <c r="Q11" i="18"/>
  <c r="S11" i="18" s="1"/>
  <c r="P9" i="18"/>
  <c r="P10" i="18"/>
  <c r="P8" i="18"/>
  <c r="N11" i="18"/>
  <c r="P11" i="18" s="1"/>
  <c r="M9" i="18"/>
  <c r="M10" i="18"/>
  <c r="M8" i="18"/>
  <c r="K11" i="18"/>
  <c r="M11" i="18" s="1"/>
  <c r="J11" i="18"/>
  <c r="J9" i="18"/>
  <c r="J10" i="18"/>
  <c r="J8" i="18"/>
  <c r="G9" i="18"/>
  <c r="G10" i="18"/>
  <c r="G8" i="18"/>
  <c r="E11" i="18"/>
  <c r="G11" i="18" s="1"/>
  <c r="AP24" i="18"/>
  <c r="AO24" i="18"/>
  <c r="AM24" i="18"/>
  <c r="AL24" i="18"/>
  <c r="AJ24" i="18"/>
  <c r="AI24" i="18"/>
  <c r="AG24" i="18"/>
  <c r="AF24" i="18"/>
  <c r="AD24" i="18"/>
  <c r="AC24" i="18"/>
  <c r="AA24" i="18"/>
  <c r="Z24" i="18"/>
  <c r="U24" i="18"/>
  <c r="T24" i="18"/>
  <c r="R24" i="18"/>
  <c r="Q24" i="18"/>
  <c r="O24" i="18"/>
  <c r="N24" i="18"/>
  <c r="L24" i="18"/>
  <c r="K24" i="18"/>
  <c r="H24" i="18"/>
  <c r="F24" i="18"/>
  <c r="E24" i="18"/>
  <c r="AS23" i="18"/>
  <c r="AR23" i="18"/>
  <c r="AQ23" i="18"/>
  <c r="AN23" i="18"/>
  <c r="AK23" i="18"/>
  <c r="AH23" i="18"/>
  <c r="AE23" i="18"/>
  <c r="AB23" i="18"/>
  <c r="X23" i="18"/>
  <c r="W23" i="18"/>
  <c r="V23" i="18"/>
  <c r="S23" i="18"/>
  <c r="P23" i="18"/>
  <c r="M23" i="18"/>
  <c r="J23" i="18"/>
  <c r="G23" i="18"/>
  <c r="AS22" i="18"/>
  <c r="AR22" i="18"/>
  <c r="AQ22" i="18"/>
  <c r="AN22" i="18"/>
  <c r="AK22" i="18"/>
  <c r="AH22" i="18"/>
  <c r="AE22" i="18"/>
  <c r="AB22" i="18"/>
  <c r="X22" i="18"/>
  <c r="W22" i="18"/>
  <c r="V22" i="18"/>
  <c r="S22" i="18"/>
  <c r="P22" i="18"/>
  <c r="M22" i="18"/>
  <c r="J22" i="18"/>
  <c r="G22" i="18"/>
  <c r="AS21" i="18"/>
  <c r="AR21" i="18"/>
  <c r="AQ21" i="18"/>
  <c r="AN21" i="18"/>
  <c r="AK21" i="18"/>
  <c r="AH21" i="18"/>
  <c r="AE21" i="18"/>
  <c r="AB21" i="18"/>
  <c r="X21" i="18"/>
  <c r="W21" i="18"/>
  <c r="V21" i="18"/>
  <c r="S21" i="18"/>
  <c r="P21" i="18"/>
  <c r="M21" i="18"/>
  <c r="J21" i="18"/>
  <c r="G21" i="18"/>
  <c r="AS20" i="18"/>
  <c r="AR20" i="18"/>
  <c r="AQ20" i="18"/>
  <c r="AN20" i="18"/>
  <c r="AK20" i="18"/>
  <c r="AH20" i="18"/>
  <c r="AE20" i="18"/>
  <c r="AB20" i="18"/>
  <c r="X20" i="18"/>
  <c r="W20" i="18"/>
  <c r="V20" i="18"/>
  <c r="S20" i="18"/>
  <c r="P20" i="18"/>
  <c r="M20" i="18"/>
  <c r="J20" i="18"/>
  <c r="G20" i="18"/>
  <c r="AP23" i="17"/>
  <c r="AO23" i="17"/>
  <c r="AM23" i="17"/>
  <c r="AL23" i="17"/>
  <c r="AJ23" i="17"/>
  <c r="AI23" i="17"/>
  <c r="AG23" i="17"/>
  <c r="AF23" i="17"/>
  <c r="AD23" i="17"/>
  <c r="AC23" i="17"/>
  <c r="AA23" i="17"/>
  <c r="Z23" i="17"/>
  <c r="U23" i="17"/>
  <c r="V23" i="17" s="1"/>
  <c r="T23" i="17"/>
  <c r="R23" i="17"/>
  <c r="Q23" i="17"/>
  <c r="O23" i="17"/>
  <c r="N23" i="17"/>
  <c r="L23" i="17"/>
  <c r="K23" i="17"/>
  <c r="I23" i="17"/>
  <c r="H23" i="17"/>
  <c r="F23" i="17"/>
  <c r="E23" i="17"/>
  <c r="AS22" i="17"/>
  <c r="AR22" i="17"/>
  <c r="AQ22" i="17"/>
  <c r="AN22" i="17"/>
  <c r="AK22" i="17"/>
  <c r="AH22" i="17"/>
  <c r="AE22" i="17"/>
  <c r="AB22" i="17"/>
  <c r="X22" i="17"/>
  <c r="W22" i="17"/>
  <c r="V22" i="17"/>
  <c r="S22" i="17"/>
  <c r="P22" i="17"/>
  <c r="M22" i="17"/>
  <c r="J22" i="17"/>
  <c r="G22" i="17"/>
  <c r="AS21" i="17"/>
  <c r="AR21" i="17"/>
  <c r="AQ21" i="17"/>
  <c r="AN21" i="17"/>
  <c r="AK21" i="17"/>
  <c r="AH21" i="17"/>
  <c r="AE21" i="17"/>
  <c r="AB21" i="17"/>
  <c r="X21" i="17"/>
  <c r="W21" i="17"/>
  <c r="V21" i="17"/>
  <c r="S21" i="17"/>
  <c r="P21" i="17"/>
  <c r="M21" i="17"/>
  <c r="J21" i="17"/>
  <c r="G21" i="17"/>
  <c r="AS20" i="17"/>
  <c r="AR20" i="17"/>
  <c r="AQ20" i="17"/>
  <c r="AN20" i="17"/>
  <c r="AK20" i="17"/>
  <c r="AH20" i="17"/>
  <c r="AE20" i="17"/>
  <c r="AB20" i="17"/>
  <c r="X20" i="17"/>
  <c r="W20" i="17"/>
  <c r="V20" i="17"/>
  <c r="S20" i="17"/>
  <c r="P20" i="17"/>
  <c r="M20" i="17"/>
  <c r="J20" i="17"/>
  <c r="G20" i="17"/>
  <c r="AS19" i="17"/>
  <c r="AR19" i="17"/>
  <c r="AU19" i="17" s="1"/>
  <c r="AQ19" i="17"/>
  <c r="AN19" i="17"/>
  <c r="AK19" i="17"/>
  <c r="AH19" i="17"/>
  <c r="AE19" i="17"/>
  <c r="AB19" i="17"/>
  <c r="X19" i="17"/>
  <c r="W19" i="17"/>
  <c r="V19" i="17"/>
  <c r="S19" i="17"/>
  <c r="P19" i="17"/>
  <c r="M19" i="17"/>
  <c r="J19" i="17"/>
  <c r="G19" i="17"/>
  <c r="AP17" i="17"/>
  <c r="AO17" i="17"/>
  <c r="AM17" i="17"/>
  <c r="AN17" i="17" s="1"/>
  <c r="AL17" i="17"/>
  <c r="AJ17" i="17"/>
  <c r="AI17" i="17"/>
  <c r="AG17" i="17"/>
  <c r="AF17" i="17"/>
  <c r="AD17" i="17"/>
  <c r="AC17" i="17"/>
  <c r="AA17" i="17"/>
  <c r="Z17" i="17"/>
  <c r="AB17" i="17" s="1"/>
  <c r="U17" i="17"/>
  <c r="T17" i="17"/>
  <c r="T6" i="17" s="1"/>
  <c r="R17" i="17"/>
  <c r="Q17" i="17"/>
  <c r="O17" i="17"/>
  <c r="N17" i="17"/>
  <c r="L17" i="17"/>
  <c r="K17" i="17"/>
  <c r="I17" i="17"/>
  <c r="H17" i="17"/>
  <c r="F17" i="17"/>
  <c r="E17" i="17"/>
  <c r="AS16" i="17"/>
  <c r="AR16" i="17"/>
  <c r="AQ16" i="17"/>
  <c r="AN16" i="17"/>
  <c r="AK16" i="17"/>
  <c r="AH16" i="17"/>
  <c r="AE16" i="17"/>
  <c r="AB16" i="17"/>
  <c r="X16" i="17"/>
  <c r="W16" i="17"/>
  <c r="AU16" i="17" s="1"/>
  <c r="V16" i="17"/>
  <c r="S16" i="17"/>
  <c r="P16" i="17"/>
  <c r="M16" i="17"/>
  <c r="J16" i="17"/>
  <c r="G16" i="17"/>
  <c r="AS15" i="17"/>
  <c r="AT15" i="17" s="1"/>
  <c r="AR15" i="17"/>
  <c r="AQ15" i="17"/>
  <c r="AN15" i="17"/>
  <c r="AK15" i="17"/>
  <c r="AH15" i="17"/>
  <c r="AE15" i="17"/>
  <c r="AB15" i="17"/>
  <c r="X15" i="17"/>
  <c r="W15" i="17"/>
  <c r="V15" i="17"/>
  <c r="S15" i="17"/>
  <c r="P15" i="17"/>
  <c r="M15" i="17"/>
  <c r="J15" i="17"/>
  <c r="G15" i="17"/>
  <c r="AS14" i="17"/>
  <c r="AR14" i="17"/>
  <c r="AR17" i="17" s="1"/>
  <c r="AQ14" i="17"/>
  <c r="AN14" i="17"/>
  <c r="AK14" i="17"/>
  <c r="AH14" i="17"/>
  <c r="AE14" i="17"/>
  <c r="AB14" i="17"/>
  <c r="X14" i="17"/>
  <c r="AV14" i="17" s="1"/>
  <c r="W14" i="17"/>
  <c r="V14" i="17"/>
  <c r="S14" i="17"/>
  <c r="P14" i="17"/>
  <c r="M14" i="17"/>
  <c r="J14" i="17"/>
  <c r="G14" i="17"/>
  <c r="AP12" i="17"/>
  <c r="AO12" i="17"/>
  <c r="AM12" i="17"/>
  <c r="AN12" i="17" s="1"/>
  <c r="AL12" i="17"/>
  <c r="AJ12" i="17"/>
  <c r="AI12" i="17"/>
  <c r="AG12" i="17"/>
  <c r="AF12" i="17"/>
  <c r="AF6" i="17" s="1"/>
  <c r="AD12" i="17"/>
  <c r="AC12" i="17"/>
  <c r="AA12" i="17"/>
  <c r="Z12" i="17"/>
  <c r="U12" i="17"/>
  <c r="V12" i="17" s="1"/>
  <c r="T12" i="17"/>
  <c r="R12" i="17"/>
  <c r="Q12" i="17"/>
  <c r="Q6" i="17" s="1"/>
  <c r="O12" i="17"/>
  <c r="P12" i="17" s="1"/>
  <c r="N12" i="17"/>
  <c r="L12" i="17"/>
  <c r="K12" i="17"/>
  <c r="I12" i="17"/>
  <c r="I6" i="17" s="1"/>
  <c r="H12" i="17"/>
  <c r="H6" i="17" s="1"/>
  <c r="F12" i="17"/>
  <c r="E12" i="17"/>
  <c r="AU11" i="17"/>
  <c r="AS11" i="17"/>
  <c r="AT11" i="17" s="1"/>
  <c r="AQ11" i="17"/>
  <c r="AN11" i="17"/>
  <c r="AK11" i="17"/>
  <c r="AH11" i="17"/>
  <c r="AE11" i="17"/>
  <c r="AB11" i="17"/>
  <c r="X11" i="17"/>
  <c r="AV11" i="17" s="1"/>
  <c r="AW11" i="17" s="1"/>
  <c r="V11" i="17"/>
  <c r="S11" i="17"/>
  <c r="P11" i="17"/>
  <c r="M11" i="17"/>
  <c r="J11" i="17"/>
  <c r="G11" i="17"/>
  <c r="AS10" i="17"/>
  <c r="AR10" i="17"/>
  <c r="AQ10" i="17"/>
  <c r="AN10" i="17"/>
  <c r="AK10" i="17"/>
  <c r="AH10" i="17"/>
  <c r="AE10" i="17"/>
  <c r="AB10" i="17"/>
  <c r="X10" i="17"/>
  <c r="W10" i="17"/>
  <c r="AU10" i="17" s="1"/>
  <c r="V10" i="17"/>
  <c r="S10" i="17"/>
  <c r="P10" i="17"/>
  <c r="M10" i="17"/>
  <c r="J10" i="17"/>
  <c r="G10" i="17"/>
  <c r="AS9" i="17"/>
  <c r="AR9" i="17"/>
  <c r="AQ9" i="17"/>
  <c r="AN9" i="17"/>
  <c r="AK9" i="17"/>
  <c r="AH9" i="17"/>
  <c r="AE9" i="17"/>
  <c r="AB9" i="17"/>
  <c r="X9" i="17"/>
  <c r="W9" i="17"/>
  <c r="AU9" i="17" s="1"/>
  <c r="V9" i="17"/>
  <c r="S9" i="17"/>
  <c r="P9" i="17"/>
  <c r="M9" i="17"/>
  <c r="J9" i="17"/>
  <c r="G9" i="17"/>
  <c r="AS8" i="17"/>
  <c r="AS12" i="17" s="1"/>
  <c r="AQ8" i="17"/>
  <c r="AN8" i="17"/>
  <c r="AK8" i="17"/>
  <c r="AH8" i="17"/>
  <c r="AE8" i="17"/>
  <c r="AB8" i="17"/>
  <c r="X8" i="17"/>
  <c r="AV8" i="17" s="1"/>
  <c r="W8" i="17"/>
  <c r="V8" i="17"/>
  <c r="S8" i="17"/>
  <c r="P8" i="17"/>
  <c r="M8" i="17"/>
  <c r="J8" i="17"/>
  <c r="G8" i="17"/>
  <c r="AO6" i="17"/>
  <c r="AP23" i="16"/>
  <c r="AO23" i="16"/>
  <c r="AQ23" i="16" s="1"/>
  <c r="AM23" i="16"/>
  <c r="AL23" i="16"/>
  <c r="AJ23" i="16"/>
  <c r="AI23" i="16"/>
  <c r="AG23" i="16"/>
  <c r="AF23" i="16"/>
  <c r="AD23" i="16"/>
  <c r="AC23" i="16"/>
  <c r="AA23" i="16"/>
  <c r="Z23" i="16"/>
  <c r="U23" i="16"/>
  <c r="V23" i="16" s="1"/>
  <c r="T23" i="16"/>
  <c r="R23" i="16"/>
  <c r="S23" i="16" s="1"/>
  <c r="Q23" i="16"/>
  <c r="O23" i="16"/>
  <c r="N23" i="16"/>
  <c r="L23" i="16"/>
  <c r="K23" i="16"/>
  <c r="I23" i="16"/>
  <c r="H23" i="16"/>
  <c r="J23" i="16" s="1"/>
  <c r="F23" i="16"/>
  <c r="E23" i="16"/>
  <c r="AS22" i="16"/>
  <c r="AR22" i="16"/>
  <c r="AQ22" i="16"/>
  <c r="AN22" i="16"/>
  <c r="AK22" i="16"/>
  <c r="AH22" i="16"/>
  <c r="AE22" i="16"/>
  <c r="AB22" i="16"/>
  <c r="X22" i="16"/>
  <c r="W22" i="16"/>
  <c r="V22" i="16"/>
  <c r="S22" i="16"/>
  <c r="P22" i="16"/>
  <c r="M22" i="16"/>
  <c r="J22" i="16"/>
  <c r="G22" i="16"/>
  <c r="AS21" i="16"/>
  <c r="AR21" i="16"/>
  <c r="AQ21" i="16"/>
  <c r="AN21" i="16"/>
  <c r="AK21" i="16"/>
  <c r="AH21" i="16"/>
  <c r="AE21" i="16"/>
  <c r="AB21" i="16"/>
  <c r="X21" i="16"/>
  <c r="W21" i="16"/>
  <c r="V21" i="16"/>
  <c r="S21" i="16"/>
  <c r="P21" i="16"/>
  <c r="M21" i="16"/>
  <c r="J21" i="16"/>
  <c r="G21" i="16"/>
  <c r="AS20" i="16"/>
  <c r="AR20" i="16"/>
  <c r="AQ20" i="16"/>
  <c r="AN20" i="16"/>
  <c r="AK20" i="16"/>
  <c r="AH20" i="16"/>
  <c r="AE20" i="16"/>
  <c r="AB20" i="16"/>
  <c r="X20" i="16"/>
  <c r="W20" i="16"/>
  <c r="V20" i="16"/>
  <c r="S20" i="16"/>
  <c r="P20" i="16"/>
  <c r="M20" i="16"/>
  <c r="J20" i="16"/>
  <c r="G20" i="16"/>
  <c r="AS19" i="16"/>
  <c r="AR19" i="16"/>
  <c r="AR23" i="16" s="1"/>
  <c r="AQ19" i="16"/>
  <c r="AN19" i="16"/>
  <c r="AK19" i="16"/>
  <c r="AH19" i="16"/>
  <c r="AE19" i="16"/>
  <c r="AB19" i="16"/>
  <c r="X19" i="16"/>
  <c r="W19" i="16"/>
  <c r="V19" i="16"/>
  <c r="S19" i="16"/>
  <c r="P19" i="16"/>
  <c r="M19" i="16"/>
  <c r="J19" i="16"/>
  <c r="G19" i="16"/>
  <c r="AP17" i="16"/>
  <c r="AO17" i="16"/>
  <c r="AM17" i="16"/>
  <c r="AM6" i="16" s="1"/>
  <c r="AL17" i="16"/>
  <c r="AJ17" i="16"/>
  <c r="AJ6" i="16" s="1"/>
  <c r="AI17" i="16"/>
  <c r="AK17" i="16" s="1"/>
  <c r="AG17" i="16"/>
  <c r="AF17" i="16"/>
  <c r="AD17" i="16"/>
  <c r="AC17" i="16"/>
  <c r="AA17" i="16"/>
  <c r="AB17" i="16" s="1"/>
  <c r="Z17" i="16"/>
  <c r="U17" i="16"/>
  <c r="V17" i="16" s="1"/>
  <c r="T17" i="16"/>
  <c r="R17" i="16"/>
  <c r="Q17" i="16"/>
  <c r="O17" i="16"/>
  <c r="N17" i="16"/>
  <c r="P17" i="16" s="1"/>
  <c r="L17" i="16"/>
  <c r="K17" i="16"/>
  <c r="K6" i="16" s="1"/>
  <c r="I17" i="16"/>
  <c r="H17" i="16"/>
  <c r="F17" i="16"/>
  <c r="E17" i="16"/>
  <c r="AS16" i="16"/>
  <c r="AR16" i="16"/>
  <c r="AQ16" i="16"/>
  <c r="AN16" i="16"/>
  <c r="AK16" i="16"/>
  <c r="AH16" i="16"/>
  <c r="AE16" i="16"/>
  <c r="AB16" i="16"/>
  <c r="X16" i="16"/>
  <c r="AV16" i="16" s="1"/>
  <c r="W16" i="16"/>
  <c r="AU16" i="16" s="1"/>
  <c r="V16" i="16"/>
  <c r="S16" i="16"/>
  <c r="P16" i="16"/>
  <c r="M16" i="16"/>
  <c r="J16" i="16"/>
  <c r="G16" i="16"/>
  <c r="AS15" i="16"/>
  <c r="AR15" i="16"/>
  <c r="AQ15" i="16"/>
  <c r="AN15" i="16"/>
  <c r="AK15" i="16"/>
  <c r="AH15" i="16"/>
  <c r="AE15" i="16"/>
  <c r="AB15" i="16"/>
  <c r="X15" i="16"/>
  <c r="AV15" i="16" s="1"/>
  <c r="W15" i="16"/>
  <c r="AU15" i="16" s="1"/>
  <c r="V15" i="16"/>
  <c r="S15" i="16"/>
  <c r="P15" i="16"/>
  <c r="M15" i="16"/>
  <c r="J15" i="16"/>
  <c r="G15" i="16"/>
  <c r="AS14" i="16"/>
  <c r="AR14" i="16"/>
  <c r="AQ14" i="16"/>
  <c r="AN14" i="16"/>
  <c r="AK14" i="16"/>
  <c r="AH14" i="16"/>
  <c r="AE14" i="16"/>
  <c r="AB14" i="16"/>
  <c r="X14" i="16"/>
  <c r="X17" i="16" s="1"/>
  <c r="W14" i="16"/>
  <c r="W17" i="16" s="1"/>
  <c r="V14" i="16"/>
  <c r="S14" i="16"/>
  <c r="P14" i="16"/>
  <c r="M14" i="16"/>
  <c r="J14" i="16"/>
  <c r="G14" i="16"/>
  <c r="AP12" i="16"/>
  <c r="AO12" i="16"/>
  <c r="AM12" i="16"/>
  <c r="AL12" i="16"/>
  <c r="AJ12" i="16"/>
  <c r="AI12" i="16"/>
  <c r="AG12" i="16"/>
  <c r="AG6" i="16" s="1"/>
  <c r="AF12" i="16"/>
  <c r="AF6" i="16" s="1"/>
  <c r="AD12" i="16"/>
  <c r="AC12" i="16"/>
  <c r="AC6" i="16" s="1"/>
  <c r="AA12" i="16"/>
  <c r="Z12" i="16"/>
  <c r="U12" i="16"/>
  <c r="V12" i="16" s="1"/>
  <c r="T12" i="16"/>
  <c r="R12" i="16"/>
  <c r="S12" i="16" s="1"/>
  <c r="Q12" i="16"/>
  <c r="O12" i="16"/>
  <c r="N12" i="16"/>
  <c r="L12" i="16"/>
  <c r="K12" i="16"/>
  <c r="I12" i="16"/>
  <c r="H12" i="16"/>
  <c r="H6" i="16" s="1"/>
  <c r="F12" i="16"/>
  <c r="E12" i="16"/>
  <c r="E6" i="16" s="1"/>
  <c r="AU11" i="16"/>
  <c r="AS11" i="16"/>
  <c r="AT11" i="16" s="1"/>
  <c r="AQ11" i="16"/>
  <c r="AN11" i="16"/>
  <c r="AK11" i="16"/>
  <c r="AH11" i="16"/>
  <c r="AE11" i="16"/>
  <c r="AB11" i="16"/>
  <c r="X11" i="16"/>
  <c r="Y11" i="16" s="1"/>
  <c r="V11" i="16"/>
  <c r="S11" i="16"/>
  <c r="P11" i="16"/>
  <c r="M11" i="16"/>
  <c r="J11" i="16"/>
  <c r="G11" i="16"/>
  <c r="AS10" i="16"/>
  <c r="AR10" i="16"/>
  <c r="AQ10" i="16"/>
  <c r="AN10" i="16"/>
  <c r="AK10" i="16"/>
  <c r="AH10" i="16"/>
  <c r="AE10" i="16"/>
  <c r="AB10" i="16"/>
  <c r="X10" i="16"/>
  <c r="W10" i="16"/>
  <c r="V10" i="16"/>
  <c r="S10" i="16"/>
  <c r="P10" i="16"/>
  <c r="M10" i="16"/>
  <c r="J10" i="16"/>
  <c r="G10" i="16"/>
  <c r="AS9" i="16"/>
  <c r="AR9" i="16"/>
  <c r="AU9" i="16" s="1"/>
  <c r="AQ9" i="16"/>
  <c r="AN9" i="16"/>
  <c r="AK9" i="16"/>
  <c r="AH9" i="16"/>
  <c r="AE9" i="16"/>
  <c r="AB9" i="16"/>
  <c r="X9" i="16"/>
  <c r="W9" i="16"/>
  <c r="V9" i="16"/>
  <c r="S9" i="16"/>
  <c r="P9" i="16"/>
  <c r="M9" i="16"/>
  <c r="J9" i="16"/>
  <c r="G9" i="16"/>
  <c r="AS8" i="16"/>
  <c r="AQ8" i="16"/>
  <c r="AN8" i="16"/>
  <c r="AK8" i="16"/>
  <c r="AH8" i="16"/>
  <c r="AE8" i="16"/>
  <c r="AB8" i="16"/>
  <c r="X8" i="16"/>
  <c r="W8" i="16"/>
  <c r="V8" i="16"/>
  <c r="S8" i="16"/>
  <c r="P8" i="16"/>
  <c r="M8" i="16"/>
  <c r="J8" i="16"/>
  <c r="G8" i="16"/>
  <c r="AP23" i="15"/>
  <c r="AO23" i="15"/>
  <c r="AM23" i="15"/>
  <c r="AL23" i="15"/>
  <c r="AJ23" i="15"/>
  <c r="AK23" i="15" s="1"/>
  <c r="AI23" i="15"/>
  <c r="AG23" i="15"/>
  <c r="AF23" i="15"/>
  <c r="AD23" i="15"/>
  <c r="AC23" i="15"/>
  <c r="AA23" i="15"/>
  <c r="Z23" i="15"/>
  <c r="U23" i="15"/>
  <c r="T23" i="15"/>
  <c r="R23" i="15"/>
  <c r="Q23" i="15"/>
  <c r="O23" i="15"/>
  <c r="N23" i="15"/>
  <c r="L23" i="15"/>
  <c r="K23" i="15"/>
  <c r="I23" i="15"/>
  <c r="H23" i="15"/>
  <c r="F23" i="15"/>
  <c r="G23" i="15" s="1"/>
  <c r="E23" i="15"/>
  <c r="AS22" i="15"/>
  <c r="AT22" i="15" s="1"/>
  <c r="AR22" i="15"/>
  <c r="AQ22" i="15"/>
  <c r="AN22" i="15"/>
  <c r="AK22" i="15"/>
  <c r="AH22" i="15"/>
  <c r="AE22" i="15"/>
  <c r="AB22" i="15"/>
  <c r="X22" i="15"/>
  <c r="W22" i="15"/>
  <c r="AU22" i="15" s="1"/>
  <c r="V22" i="15"/>
  <c r="S22" i="15"/>
  <c r="P22" i="15"/>
  <c r="M22" i="15"/>
  <c r="J22" i="15"/>
  <c r="G22" i="15"/>
  <c r="AS21" i="15"/>
  <c r="AR21" i="15"/>
  <c r="AQ21" i="15"/>
  <c r="AN21" i="15"/>
  <c r="AK21" i="15"/>
  <c r="AH21" i="15"/>
  <c r="AE21" i="15"/>
  <c r="AB21" i="15"/>
  <c r="X21" i="15"/>
  <c r="AV21" i="15" s="1"/>
  <c r="W21" i="15"/>
  <c r="V21" i="15"/>
  <c r="S21" i="15"/>
  <c r="P21" i="15"/>
  <c r="M21" i="15"/>
  <c r="J21" i="15"/>
  <c r="G21" i="15"/>
  <c r="AS20" i="15"/>
  <c r="AR20" i="15"/>
  <c r="AQ20" i="15"/>
  <c r="AN20" i="15"/>
  <c r="AK20" i="15"/>
  <c r="AH20" i="15"/>
  <c r="AE20" i="15"/>
  <c r="AB20" i="15"/>
  <c r="X20" i="15"/>
  <c r="AV20" i="15" s="1"/>
  <c r="W20" i="15"/>
  <c r="AU20" i="15" s="1"/>
  <c r="V20" i="15"/>
  <c r="S20" i="15"/>
  <c r="P20" i="15"/>
  <c r="M20" i="15"/>
  <c r="J20" i="15"/>
  <c r="G20" i="15"/>
  <c r="AS19" i="15"/>
  <c r="AR19" i="15"/>
  <c r="AQ19" i="15"/>
  <c r="AN19" i="15"/>
  <c r="AK19" i="15"/>
  <c r="AH19" i="15"/>
  <c r="AE19" i="15"/>
  <c r="AB19" i="15"/>
  <c r="X19" i="15"/>
  <c r="AV19" i="15" s="1"/>
  <c r="W19" i="15"/>
  <c r="V19" i="15"/>
  <c r="S19" i="15"/>
  <c r="P19" i="15"/>
  <c r="M19" i="15"/>
  <c r="J19" i="15"/>
  <c r="G19" i="15"/>
  <c r="AP17" i="15"/>
  <c r="AO17" i="15"/>
  <c r="AM17" i="15"/>
  <c r="AL17" i="15"/>
  <c r="AJ17" i="15"/>
  <c r="AI17" i="15"/>
  <c r="AG17" i="15"/>
  <c r="AF17" i="15"/>
  <c r="AD17" i="15"/>
  <c r="AC17" i="15"/>
  <c r="AA17" i="15"/>
  <c r="Z17" i="15"/>
  <c r="U17" i="15"/>
  <c r="T17" i="15"/>
  <c r="R17" i="15"/>
  <c r="Q17" i="15"/>
  <c r="O17" i="15"/>
  <c r="N17" i="15"/>
  <c r="L17" i="15"/>
  <c r="K17" i="15"/>
  <c r="I17" i="15"/>
  <c r="H17" i="15"/>
  <c r="F17" i="15"/>
  <c r="E17" i="15"/>
  <c r="AS16" i="15"/>
  <c r="AR16" i="15"/>
  <c r="AT16" i="15" s="1"/>
  <c r="AQ16" i="15"/>
  <c r="AN16" i="15"/>
  <c r="AK16" i="15"/>
  <c r="AH16" i="15"/>
  <c r="AE16" i="15"/>
  <c r="AB16" i="15"/>
  <c r="X16" i="15"/>
  <c r="W16" i="15"/>
  <c r="V16" i="15"/>
  <c r="S16" i="15"/>
  <c r="P16" i="15"/>
  <c r="M16" i="15"/>
  <c r="J16" i="15"/>
  <c r="G16" i="15"/>
  <c r="AS15" i="15"/>
  <c r="AR15" i="15"/>
  <c r="AQ15" i="15"/>
  <c r="AN15" i="15"/>
  <c r="AK15" i="15"/>
  <c r="AH15" i="15"/>
  <c r="AE15" i="15"/>
  <c r="AB15" i="15"/>
  <c r="X15" i="15"/>
  <c r="W15" i="15"/>
  <c r="V15" i="15"/>
  <c r="S15" i="15"/>
  <c r="P15" i="15"/>
  <c r="M15" i="15"/>
  <c r="J15" i="15"/>
  <c r="G15" i="15"/>
  <c r="AS14" i="15"/>
  <c r="AR14" i="15"/>
  <c r="AQ14" i="15"/>
  <c r="AN14" i="15"/>
  <c r="AK14" i="15"/>
  <c r="AH14" i="15"/>
  <c r="AE14" i="15"/>
  <c r="AB14" i="15"/>
  <c r="X14" i="15"/>
  <c r="W14" i="15"/>
  <c r="V14" i="15"/>
  <c r="S14" i="15"/>
  <c r="P14" i="15"/>
  <c r="M14" i="15"/>
  <c r="J14" i="15"/>
  <c r="G14" i="15"/>
  <c r="AP12" i="15"/>
  <c r="AO12" i="15"/>
  <c r="AM12" i="15"/>
  <c r="AL12" i="15"/>
  <c r="AJ12" i="15"/>
  <c r="AI12" i="15"/>
  <c r="AG12" i="15"/>
  <c r="AF12" i="15"/>
  <c r="AD12" i="15"/>
  <c r="AE12" i="15" s="1"/>
  <c r="AC12" i="15"/>
  <c r="AA12" i="15"/>
  <c r="Z12" i="15"/>
  <c r="U12" i="15"/>
  <c r="T12" i="15"/>
  <c r="R12" i="15"/>
  <c r="Q12" i="15"/>
  <c r="O12" i="15"/>
  <c r="N12" i="15"/>
  <c r="L12" i="15"/>
  <c r="L6" i="15" s="1"/>
  <c r="K12" i="15"/>
  <c r="I12" i="15"/>
  <c r="J12" i="15" s="1"/>
  <c r="H12" i="15"/>
  <c r="F12" i="15"/>
  <c r="E12" i="15"/>
  <c r="AU11" i="15"/>
  <c r="AS11" i="15"/>
  <c r="AT11" i="15" s="1"/>
  <c r="AQ11" i="15"/>
  <c r="AN11" i="15"/>
  <c r="AK11" i="15"/>
  <c r="AH11" i="15"/>
  <c r="AE11" i="15"/>
  <c r="AB11" i="15"/>
  <c r="X11" i="15"/>
  <c r="V11" i="15"/>
  <c r="S11" i="15"/>
  <c r="P11" i="15"/>
  <c r="M11" i="15"/>
  <c r="J11" i="15"/>
  <c r="G11" i="15"/>
  <c r="AS10" i="15"/>
  <c r="AR10" i="15"/>
  <c r="AQ10" i="15"/>
  <c r="AN10" i="15"/>
  <c r="AK10" i="15"/>
  <c r="AH10" i="15"/>
  <c r="AE10" i="15"/>
  <c r="AB10" i="15"/>
  <c r="X10" i="15"/>
  <c r="W10" i="15"/>
  <c r="AU10" i="15" s="1"/>
  <c r="V10" i="15"/>
  <c r="S10" i="15"/>
  <c r="P10" i="15"/>
  <c r="M10" i="15"/>
  <c r="J10" i="15"/>
  <c r="G10" i="15"/>
  <c r="AS9" i="15"/>
  <c r="AR9" i="15"/>
  <c r="AQ9" i="15"/>
  <c r="AN9" i="15"/>
  <c r="AK9" i="15"/>
  <c r="AH9" i="15"/>
  <c r="AE9" i="15"/>
  <c r="AB9" i="15"/>
  <c r="X9" i="15"/>
  <c r="AV9" i="15" s="1"/>
  <c r="W9" i="15"/>
  <c r="AU9" i="15" s="1"/>
  <c r="V9" i="15"/>
  <c r="S9" i="15"/>
  <c r="P9" i="15"/>
  <c r="M9" i="15"/>
  <c r="J9" i="15"/>
  <c r="G9" i="15"/>
  <c r="AS8" i="15"/>
  <c r="AQ8" i="15"/>
  <c r="AN8" i="15"/>
  <c r="AK8" i="15"/>
  <c r="AH8" i="15"/>
  <c r="AE8" i="15"/>
  <c r="AB8" i="15"/>
  <c r="X8" i="15"/>
  <c r="W8" i="15"/>
  <c r="V8" i="15"/>
  <c r="S8" i="15"/>
  <c r="P8" i="15"/>
  <c r="M8" i="15"/>
  <c r="J8" i="15"/>
  <c r="G8" i="15"/>
  <c r="M23" i="15" l="1"/>
  <c r="M17" i="16"/>
  <c r="AT21" i="17"/>
  <c r="AT9" i="16"/>
  <c r="AK23" i="17"/>
  <c r="G17" i="18"/>
  <c r="G23" i="16"/>
  <c r="Y9" i="17"/>
  <c r="M23" i="17"/>
  <c r="AT19" i="17"/>
  <c r="AW20" i="15"/>
  <c r="P23" i="15"/>
  <c r="AE23" i="16"/>
  <c r="AI6" i="16"/>
  <c r="AK6" i="16" s="1"/>
  <c r="AR8" i="17"/>
  <c r="AR12" i="17" s="1"/>
  <c r="AT12" i="17" s="1"/>
  <c r="AT16" i="17"/>
  <c r="Y19" i="17"/>
  <c r="AU20" i="17"/>
  <c r="AU21" i="17"/>
  <c r="AT14" i="18"/>
  <c r="AU15" i="15"/>
  <c r="AU16" i="15"/>
  <c r="AO6" i="15"/>
  <c r="M12" i="16"/>
  <c r="AV20" i="17"/>
  <c r="AW20" i="17" s="1"/>
  <c r="AV21" i="17"/>
  <c r="AW21" i="17" s="1"/>
  <c r="AQ23" i="17"/>
  <c r="AQ17" i="17"/>
  <c r="W23" i="15"/>
  <c r="G17" i="15"/>
  <c r="AT10" i="16"/>
  <c r="AR8" i="15"/>
  <c r="AU8" i="15" s="1"/>
  <c r="AU12" i="15" s="1"/>
  <c r="Y10" i="17"/>
  <c r="AT9" i="15"/>
  <c r="AU22" i="16"/>
  <c r="Y16" i="17"/>
  <c r="AH23" i="17"/>
  <c r="AH6" i="16"/>
  <c r="AK17" i="15"/>
  <c r="Z6" i="15"/>
  <c r="AV15" i="15"/>
  <c r="AQ12" i="16"/>
  <c r="AU21" i="16"/>
  <c r="F6" i="15"/>
  <c r="G6" i="15" s="1"/>
  <c r="AH12" i="15"/>
  <c r="Q6" i="16"/>
  <c r="AE17" i="16"/>
  <c r="AV20" i="16"/>
  <c r="AW20" i="16" s="1"/>
  <c r="O6" i="16"/>
  <c r="AB12" i="17"/>
  <c r="AH12" i="17"/>
  <c r="AT22" i="17"/>
  <c r="Y22" i="15"/>
  <c r="S17" i="17"/>
  <c r="AN23" i="17"/>
  <c r="X17" i="15"/>
  <c r="E6" i="15"/>
  <c r="AE23" i="15"/>
  <c r="AI6" i="15"/>
  <c r="T6" i="15"/>
  <c r="AB17" i="18"/>
  <c r="AB17" i="15"/>
  <c r="P17" i="17"/>
  <c r="AN23" i="15"/>
  <c r="AT20" i="17"/>
  <c r="Y10" i="15"/>
  <c r="AJ6" i="15"/>
  <c r="AU14" i="17"/>
  <c r="AU15" i="17"/>
  <c r="L6" i="17"/>
  <c r="AC18" i="18"/>
  <c r="AN18" i="18"/>
  <c r="AI18" i="18"/>
  <c r="AK18" i="18" s="1"/>
  <c r="V17" i="18"/>
  <c r="Z18" i="18"/>
  <c r="N18" i="18"/>
  <c r="P18" i="18" s="1"/>
  <c r="AQ18" i="18"/>
  <c r="AH17" i="18"/>
  <c r="AA18" i="18"/>
  <c r="AB18" i="18" s="1"/>
  <c r="P17" i="18"/>
  <c r="E18" i="18"/>
  <c r="Q18" i="18"/>
  <c r="S18" i="18" s="1"/>
  <c r="I6" i="18"/>
  <c r="J17" i="18"/>
  <c r="AE17" i="18"/>
  <c r="F18" i="18"/>
  <c r="AD18" i="18"/>
  <c r="AE18" i="18" s="1"/>
  <c r="AF18" i="18"/>
  <c r="AH18" i="18" s="1"/>
  <c r="K6" i="18"/>
  <c r="S17" i="18"/>
  <c r="Y14" i="18"/>
  <c r="I18" i="18"/>
  <c r="J18" i="18" s="1"/>
  <c r="U18" i="18"/>
  <c r="V18" i="18" s="1"/>
  <c r="M17" i="18"/>
  <c r="Y15" i="18"/>
  <c r="K18" i="18"/>
  <c r="L18" i="18"/>
  <c r="AO6" i="18"/>
  <c r="AG6" i="18"/>
  <c r="AS17" i="18"/>
  <c r="F6" i="18"/>
  <c r="AU22" i="18"/>
  <c r="N6" i="18"/>
  <c r="W17" i="18"/>
  <c r="W18" i="18" s="1"/>
  <c r="Y13" i="18"/>
  <c r="AL6" i="18"/>
  <c r="R6" i="18"/>
  <c r="AM6" i="18"/>
  <c r="AN6" i="18" s="1"/>
  <c r="O6" i="18"/>
  <c r="AV14" i="18"/>
  <c r="AW14" i="18" s="1"/>
  <c r="X17" i="18"/>
  <c r="Q6" i="18"/>
  <c r="Z6" i="18"/>
  <c r="AR13" i="18"/>
  <c r="AT13" i="18" s="1"/>
  <c r="AF6" i="18"/>
  <c r="AP6" i="18"/>
  <c r="AI6" i="18"/>
  <c r="AA6" i="18"/>
  <c r="E6" i="18"/>
  <c r="G6" i="18" s="1"/>
  <c r="AV13" i="18"/>
  <c r="H6" i="18"/>
  <c r="J6" i="18" s="1"/>
  <c r="U6" i="18"/>
  <c r="AJ6" i="18"/>
  <c r="J6" i="17"/>
  <c r="Y14" i="17"/>
  <c r="J17" i="16"/>
  <c r="AC6" i="18"/>
  <c r="K6" i="17"/>
  <c r="M6" i="17" s="1"/>
  <c r="AI6" i="17"/>
  <c r="AJ6" i="17"/>
  <c r="Y21" i="17"/>
  <c r="AU15" i="18"/>
  <c r="AV11" i="15"/>
  <c r="AW11" i="15" s="1"/>
  <c r="M12" i="15"/>
  <c r="AK12" i="15"/>
  <c r="P17" i="15"/>
  <c r="AQ17" i="15"/>
  <c r="AS23" i="15"/>
  <c r="AT20" i="15"/>
  <c r="S23" i="15"/>
  <c r="AQ23" i="15"/>
  <c r="AH12" i="16"/>
  <c r="M12" i="17"/>
  <c r="AK12" i="17"/>
  <c r="N6" i="17"/>
  <c r="AL6" i="17"/>
  <c r="Y22" i="17"/>
  <c r="AK17" i="18"/>
  <c r="AV15" i="18"/>
  <c r="L6" i="18"/>
  <c r="AD6" i="18"/>
  <c r="J17" i="17"/>
  <c r="J12" i="17"/>
  <c r="Q6" i="15"/>
  <c r="J12" i="16"/>
  <c r="W23" i="16"/>
  <c r="W6" i="16" s="1"/>
  <c r="M17" i="15"/>
  <c r="AH17" i="16"/>
  <c r="AU8" i="17"/>
  <c r="AU12" i="17" s="1"/>
  <c r="AR23" i="15"/>
  <c r="AT23" i="15" s="1"/>
  <c r="P12" i="15"/>
  <c r="AN12" i="15"/>
  <c r="S17" i="15"/>
  <c r="AT21" i="15"/>
  <c r="V23" i="15"/>
  <c r="I6" i="16"/>
  <c r="J6" i="16" s="1"/>
  <c r="W12" i="16"/>
  <c r="AV9" i="16"/>
  <c r="AW9" i="16" s="1"/>
  <c r="AK12" i="16"/>
  <c r="AN17" i="16"/>
  <c r="O6" i="17"/>
  <c r="P23" i="17"/>
  <c r="AV16" i="18"/>
  <c r="AW16" i="18" s="1"/>
  <c r="Y16" i="15"/>
  <c r="AN23" i="16"/>
  <c r="Y15" i="17"/>
  <c r="S12" i="15"/>
  <c r="AQ12" i="15"/>
  <c r="AT14" i="15"/>
  <c r="AR17" i="15"/>
  <c r="V17" i="15"/>
  <c r="AB23" i="15"/>
  <c r="Y10" i="16"/>
  <c r="AN12" i="16"/>
  <c r="S17" i="16"/>
  <c r="AU20" i="16"/>
  <c r="S23" i="17"/>
  <c r="AN17" i="15"/>
  <c r="N6" i="15"/>
  <c r="AV14" i="15"/>
  <c r="AW14" i="15" s="1"/>
  <c r="AT15" i="15"/>
  <c r="P12" i="16"/>
  <c r="AQ17" i="16"/>
  <c r="AT21" i="16"/>
  <c r="AT22" i="16"/>
  <c r="AB23" i="16"/>
  <c r="AG6" i="17"/>
  <c r="AH6" i="17" s="1"/>
  <c r="S12" i="17"/>
  <c r="AQ12" i="17"/>
  <c r="U6" i="17"/>
  <c r="V6" i="17" s="1"/>
  <c r="AV19" i="17"/>
  <c r="AW19" i="17" s="1"/>
  <c r="AR23" i="17"/>
  <c r="I6" i="15"/>
  <c r="Y19" i="16"/>
  <c r="Y14" i="16"/>
  <c r="AL6" i="15"/>
  <c r="AR17" i="16"/>
  <c r="AM6" i="17"/>
  <c r="AN6" i="17" s="1"/>
  <c r="AT14" i="17"/>
  <c r="V17" i="17"/>
  <c r="P23" i="16"/>
  <c r="AH17" i="17"/>
  <c r="AS12" i="15"/>
  <c r="AB12" i="15"/>
  <c r="AV16" i="15"/>
  <c r="AW16" i="15" s="1"/>
  <c r="AE17" i="15"/>
  <c r="Y20" i="15"/>
  <c r="J23" i="15"/>
  <c r="AH23" i="15"/>
  <c r="T6" i="16"/>
  <c r="AU14" i="16"/>
  <c r="AU17" i="16" s="1"/>
  <c r="AT15" i="16"/>
  <c r="AV9" i="17"/>
  <c r="AW9" i="17" s="1"/>
  <c r="Z6" i="17"/>
  <c r="AB23" i="17"/>
  <c r="AU17" i="17"/>
  <c r="AV14" i="16"/>
  <c r="AV17" i="16" s="1"/>
  <c r="AC6" i="15"/>
  <c r="AU21" i="15"/>
  <c r="AW21" i="15" s="1"/>
  <c r="AT16" i="16"/>
  <c r="AH23" i="16"/>
  <c r="AT10" i="17"/>
  <c r="AV15" i="17"/>
  <c r="AW15" i="17" s="1"/>
  <c r="Y22" i="16"/>
  <c r="K6" i="15"/>
  <c r="M6" i="15" s="1"/>
  <c r="Y8" i="15"/>
  <c r="AG6" i="15"/>
  <c r="AV10" i="17"/>
  <c r="AW10" i="17" s="1"/>
  <c r="E6" i="17"/>
  <c r="AC6" i="17"/>
  <c r="W23" i="17"/>
  <c r="AE23" i="17"/>
  <c r="J23" i="17"/>
  <c r="AV8" i="15"/>
  <c r="H6" i="15"/>
  <c r="AF6" i="15"/>
  <c r="AU14" i="15"/>
  <c r="AO6" i="16"/>
  <c r="AU10" i="16"/>
  <c r="G17" i="16"/>
  <c r="M23" i="16"/>
  <c r="AK23" i="16"/>
  <c r="G12" i="17"/>
  <c r="AE12" i="17"/>
  <c r="G17" i="17"/>
  <c r="AD6" i="17"/>
  <c r="AE6" i="17" s="1"/>
  <c r="G23" i="17"/>
  <c r="T6" i="18"/>
  <c r="AQ17" i="18"/>
  <c r="AN17" i="18"/>
  <c r="P24" i="18"/>
  <c r="AU8" i="18"/>
  <c r="AW8" i="18" s="1"/>
  <c r="Y9" i="18"/>
  <c r="AW10" i="18"/>
  <c r="AW9" i="18"/>
  <c r="AU21" i="18"/>
  <c r="Y21" i="18"/>
  <c r="AV11" i="18"/>
  <c r="S24" i="18"/>
  <c r="AH24" i="18"/>
  <c r="Y10" i="18"/>
  <c r="AK24" i="18"/>
  <c r="W11" i="18"/>
  <c r="AT21" i="18"/>
  <c r="AV22" i="18"/>
  <c r="AT23" i="18"/>
  <c r="AQ24" i="18"/>
  <c r="J24" i="18"/>
  <c r="M24" i="18"/>
  <c r="AB24" i="18"/>
  <c r="AN24" i="18"/>
  <c r="V24" i="18"/>
  <c r="Y20" i="18"/>
  <c r="AR24" i="18"/>
  <c r="AS24" i="18"/>
  <c r="AS6" i="18" s="1"/>
  <c r="AV21" i="18"/>
  <c r="AE24" i="18"/>
  <c r="G24" i="18"/>
  <c r="X24" i="18"/>
  <c r="Y23" i="18"/>
  <c r="AT20" i="18"/>
  <c r="AU23" i="18"/>
  <c r="AU20" i="18"/>
  <c r="Y22" i="18"/>
  <c r="AV23" i="18"/>
  <c r="AV20" i="18"/>
  <c r="AT22" i="18"/>
  <c r="W24" i="18"/>
  <c r="AS23" i="17"/>
  <c r="AT23" i="17" s="1"/>
  <c r="AV22" i="17"/>
  <c r="AV23" i="17" s="1"/>
  <c r="AR6" i="17"/>
  <c r="AV12" i="17"/>
  <c r="AW14" i="17"/>
  <c r="Y8" i="17"/>
  <c r="AE17" i="17"/>
  <c r="F6" i="17"/>
  <c r="W12" i="17"/>
  <c r="AV16" i="17"/>
  <c r="AW16" i="17" s="1"/>
  <c r="AU22" i="17"/>
  <c r="AU23" i="17" s="1"/>
  <c r="X12" i="17"/>
  <c r="AT9" i="17"/>
  <c r="Y11" i="17"/>
  <c r="M17" i="17"/>
  <c r="AK17" i="17"/>
  <c r="AS17" i="17"/>
  <c r="AT17" i="17" s="1"/>
  <c r="R6" i="17"/>
  <c r="S6" i="17" s="1"/>
  <c r="AP6" i="17"/>
  <c r="AQ6" i="17" s="1"/>
  <c r="W17" i="17"/>
  <c r="Y20" i="17"/>
  <c r="AA6" i="17"/>
  <c r="X17" i="17"/>
  <c r="X23" i="17"/>
  <c r="Y23" i="17" s="1"/>
  <c r="AR8" i="16"/>
  <c r="AU8" i="16" s="1"/>
  <c r="AA6" i="16"/>
  <c r="AV8" i="16"/>
  <c r="AS23" i="16"/>
  <c r="AT23" i="16" s="1"/>
  <c r="AV22" i="16"/>
  <c r="AW22" i="16" s="1"/>
  <c r="AV21" i="16"/>
  <c r="AW21" i="16" s="1"/>
  <c r="AV11" i="16"/>
  <c r="AW11" i="16" s="1"/>
  <c r="AB12" i="16"/>
  <c r="Y17" i="16"/>
  <c r="AW16" i="16"/>
  <c r="AW15" i="16"/>
  <c r="N6" i="16"/>
  <c r="P6" i="16" s="1"/>
  <c r="AD6" i="16"/>
  <c r="AE6" i="16" s="1"/>
  <c r="AL6" i="16"/>
  <c r="AN6" i="16" s="1"/>
  <c r="G12" i="16"/>
  <c r="AE12" i="16"/>
  <c r="Y15" i="16"/>
  <c r="AT19" i="16"/>
  <c r="L6" i="16"/>
  <c r="M6" i="16" s="1"/>
  <c r="F6" i="16"/>
  <c r="G6" i="16" s="1"/>
  <c r="Y9" i="16"/>
  <c r="AV10" i="16"/>
  <c r="X12" i="16"/>
  <c r="AU19" i="16"/>
  <c r="Y21" i="16"/>
  <c r="AS17" i="16"/>
  <c r="AV19" i="16"/>
  <c r="R6" i="16"/>
  <c r="Z6" i="16"/>
  <c r="AP6" i="16"/>
  <c r="AQ6" i="16" s="1"/>
  <c r="Y8" i="16"/>
  <c r="AT14" i="16"/>
  <c r="Y20" i="16"/>
  <c r="Y16" i="16"/>
  <c r="AT20" i="16"/>
  <c r="AS12" i="16"/>
  <c r="X23" i="16"/>
  <c r="U6" i="16"/>
  <c r="U6" i="15"/>
  <c r="Y14" i="15"/>
  <c r="AU17" i="15"/>
  <c r="AW9" i="15"/>
  <c r="AW15" i="15"/>
  <c r="AK6" i="15"/>
  <c r="AS6" i="15"/>
  <c r="X23" i="15"/>
  <c r="Y23" i="15" s="1"/>
  <c r="Y19" i="15"/>
  <c r="AD6" i="15"/>
  <c r="AE6" i="15" s="1"/>
  <c r="G12" i="15"/>
  <c r="AT10" i="15"/>
  <c r="J17" i="15"/>
  <c r="AH17" i="15"/>
  <c r="Y15" i="15"/>
  <c r="AT19" i="15"/>
  <c r="O6" i="15"/>
  <c r="Y9" i="15"/>
  <c r="AV10" i="15"/>
  <c r="AW10" i="15" s="1"/>
  <c r="X12" i="15"/>
  <c r="W12" i="15"/>
  <c r="AM6" i="15"/>
  <c r="AN6" i="15" s="1"/>
  <c r="AU19" i="15"/>
  <c r="AU23" i="15" s="1"/>
  <c r="Y21" i="15"/>
  <c r="AV22" i="15"/>
  <c r="AW22" i="15" s="1"/>
  <c r="Y11" i="15"/>
  <c r="AS17" i="15"/>
  <c r="AT17" i="15" s="1"/>
  <c r="V12" i="15"/>
  <c r="R6" i="15"/>
  <c r="AP6" i="15"/>
  <c r="AQ6" i="15" s="1"/>
  <c r="W17" i="15"/>
  <c r="Y17" i="15" s="1"/>
  <c r="AA6" i="15"/>
  <c r="AB6" i="15" s="1"/>
  <c r="U12" i="14"/>
  <c r="R12" i="14"/>
  <c r="S6" i="16" l="1"/>
  <c r="AT8" i="17"/>
  <c r="S6" i="15"/>
  <c r="AU23" i="16"/>
  <c r="AB6" i="17"/>
  <c r="V6" i="15"/>
  <c r="AV12" i="15"/>
  <c r="AW12" i="15" s="1"/>
  <c r="AR12" i="15"/>
  <c r="AT12" i="15" s="1"/>
  <c r="G6" i="17"/>
  <c r="AT8" i="15"/>
  <c r="P6" i="15"/>
  <c r="Y23" i="16"/>
  <c r="AW14" i="16"/>
  <c r="AV17" i="17"/>
  <c r="AW17" i="17" s="1"/>
  <c r="AK6" i="17"/>
  <c r="M18" i="18"/>
  <c r="Y17" i="18"/>
  <c r="X18" i="18"/>
  <c r="Y18" i="18" s="1"/>
  <c r="M6" i="18"/>
  <c r="G18" i="18"/>
  <c r="AW15" i="18"/>
  <c r="P6" i="18"/>
  <c r="AB6" i="18"/>
  <c r="AW22" i="18"/>
  <c r="AS18" i="18"/>
  <c r="X6" i="18"/>
  <c r="V6" i="18"/>
  <c r="AE6" i="18"/>
  <c r="S6" i="18"/>
  <c r="AU13" i="18"/>
  <c r="AW13" i="18" s="1"/>
  <c r="AR17" i="18"/>
  <c r="AR6" i="18" s="1"/>
  <c r="AV24" i="18"/>
  <c r="AH6" i="15"/>
  <c r="AV17" i="15"/>
  <c r="AW17" i="15" s="1"/>
  <c r="AV17" i="18"/>
  <c r="AW8" i="17"/>
  <c r="J6" i="15"/>
  <c r="P6" i="17"/>
  <c r="X6" i="17"/>
  <c r="AT17" i="16"/>
  <c r="Y11" i="18"/>
  <c r="W6" i="18"/>
  <c r="Y6" i="18" s="1"/>
  <c r="AW8" i="15"/>
  <c r="AU12" i="16"/>
  <c r="AU6" i="16" s="1"/>
  <c r="W6" i="17"/>
  <c r="V6" i="16"/>
  <c r="AW10" i="16"/>
  <c r="W6" i="15"/>
  <c r="AQ6" i="18"/>
  <c r="AH6" i="18"/>
  <c r="AW21" i="18"/>
  <c r="AU11" i="18"/>
  <c r="AW11" i="18" s="1"/>
  <c r="AK6" i="18"/>
  <c r="AT24" i="18"/>
  <c r="AU24" i="18"/>
  <c r="Y24" i="18"/>
  <c r="AW20" i="18"/>
  <c r="AW23" i="18"/>
  <c r="AW23" i="17"/>
  <c r="AU6" i="17"/>
  <c r="AW12" i="17"/>
  <c r="AV6" i="17"/>
  <c r="AW22" i="17"/>
  <c r="Y12" i="17"/>
  <c r="AS6" i="17"/>
  <c r="AT6" i="17" s="1"/>
  <c r="Y17" i="17"/>
  <c r="AW8" i="16"/>
  <c r="AT8" i="16"/>
  <c r="AR12" i="16"/>
  <c r="AR6" i="16" s="1"/>
  <c r="AB6" i="16"/>
  <c r="AV23" i="16"/>
  <c r="AW23" i="16" s="1"/>
  <c r="AW19" i="16"/>
  <c r="Y12" i="16"/>
  <c r="X6" i="16"/>
  <c r="Y6" i="16" s="1"/>
  <c r="AS6" i="16"/>
  <c r="AW17" i="16"/>
  <c r="AV12" i="16"/>
  <c r="AU6" i="15"/>
  <c r="Y12" i="15"/>
  <c r="X6" i="15"/>
  <c r="Y6" i="15" s="1"/>
  <c r="AV23" i="15"/>
  <c r="AW23" i="15" s="1"/>
  <c r="AW19" i="15"/>
  <c r="AP23" i="14"/>
  <c r="AO23" i="14"/>
  <c r="AM23" i="14"/>
  <c r="AL23" i="14"/>
  <c r="AJ23" i="14"/>
  <c r="AI23" i="14"/>
  <c r="AK23" i="14" s="1"/>
  <c r="AG23" i="14"/>
  <c r="AF23" i="14"/>
  <c r="AD23" i="14"/>
  <c r="AC23" i="14"/>
  <c r="AA23" i="14"/>
  <c r="AB23" i="14" s="1"/>
  <c r="Z23" i="14"/>
  <c r="U23" i="14"/>
  <c r="T23" i="14"/>
  <c r="R23" i="14"/>
  <c r="Q23" i="14"/>
  <c r="O23" i="14"/>
  <c r="N23" i="14"/>
  <c r="L23" i="14"/>
  <c r="K23" i="14"/>
  <c r="I23" i="14"/>
  <c r="H23" i="14"/>
  <c r="F23" i="14"/>
  <c r="G23" i="14" s="1"/>
  <c r="E23" i="14"/>
  <c r="AS22" i="14"/>
  <c r="AT22" i="14" s="1"/>
  <c r="AR22" i="14"/>
  <c r="AQ22" i="14"/>
  <c r="AN22" i="14"/>
  <c r="AK22" i="14"/>
  <c r="AH22" i="14"/>
  <c r="AE22" i="14"/>
  <c r="AB22" i="14"/>
  <c r="X22" i="14"/>
  <c r="W22" i="14"/>
  <c r="V22" i="14"/>
  <c r="S22" i="14"/>
  <c r="P22" i="14"/>
  <c r="M22" i="14"/>
  <c r="J22" i="14"/>
  <c r="G22" i="14"/>
  <c r="AS21" i="14"/>
  <c r="AT21" i="14" s="1"/>
  <c r="AR21" i="14"/>
  <c r="AQ21" i="14"/>
  <c r="AN21" i="14"/>
  <c r="AK21" i="14"/>
  <c r="AH21" i="14"/>
  <c r="AE21" i="14"/>
  <c r="AB21" i="14"/>
  <c r="X21" i="14"/>
  <c r="W21" i="14"/>
  <c r="V21" i="14"/>
  <c r="S21" i="14"/>
  <c r="P21" i="14"/>
  <c r="M21" i="14"/>
  <c r="J21" i="14"/>
  <c r="G21" i="14"/>
  <c r="AS20" i="14"/>
  <c r="AR20" i="14"/>
  <c r="AT20" i="14" s="1"/>
  <c r="AQ20" i="14"/>
  <c r="AN20" i="14"/>
  <c r="AK20" i="14"/>
  <c r="AH20" i="14"/>
  <c r="AE20" i="14"/>
  <c r="AB20" i="14"/>
  <c r="X20" i="14"/>
  <c r="W20" i="14"/>
  <c r="V20" i="14"/>
  <c r="S20" i="14"/>
  <c r="P20" i="14"/>
  <c r="M20" i="14"/>
  <c r="J20" i="14"/>
  <c r="G20" i="14"/>
  <c r="AS19" i="14"/>
  <c r="AR19" i="14"/>
  <c r="AR23" i="14" s="1"/>
  <c r="AQ19" i="14"/>
  <c r="AN19" i="14"/>
  <c r="AK19" i="14"/>
  <c r="AH19" i="14"/>
  <c r="AE19" i="14"/>
  <c r="AB19" i="14"/>
  <c r="X19" i="14"/>
  <c r="W19" i="14"/>
  <c r="W23" i="14" s="1"/>
  <c r="V19" i="14"/>
  <c r="S19" i="14"/>
  <c r="P19" i="14"/>
  <c r="M19" i="14"/>
  <c r="J19" i="14"/>
  <c r="G19" i="14"/>
  <c r="AP17" i="14"/>
  <c r="AO17" i="14"/>
  <c r="AM17" i="14"/>
  <c r="AL17" i="14"/>
  <c r="AJ17" i="14"/>
  <c r="AI17" i="14"/>
  <c r="AG17" i="14"/>
  <c r="AF17" i="14"/>
  <c r="AH17" i="14" s="1"/>
  <c r="AD17" i="14"/>
  <c r="AD6" i="14" s="1"/>
  <c r="AC17" i="14"/>
  <c r="AE17" i="14" s="1"/>
  <c r="AA17" i="14"/>
  <c r="AA6" i="14" s="1"/>
  <c r="Z17" i="14"/>
  <c r="Z6" i="14" s="1"/>
  <c r="U17" i="14"/>
  <c r="T17" i="14"/>
  <c r="R17" i="14"/>
  <c r="S17" i="14" s="1"/>
  <c r="Q17" i="14"/>
  <c r="O17" i="14"/>
  <c r="N17" i="14"/>
  <c r="P17" i="14" s="1"/>
  <c r="L17" i="14"/>
  <c r="K17" i="14"/>
  <c r="I17" i="14"/>
  <c r="H17" i="14"/>
  <c r="F17" i="14"/>
  <c r="E17" i="14"/>
  <c r="AS16" i="14"/>
  <c r="AR16" i="14"/>
  <c r="AQ16" i="14"/>
  <c r="AN16" i="14"/>
  <c r="AK16" i="14"/>
  <c r="AH16" i="14"/>
  <c r="AE16" i="14"/>
  <c r="AB16" i="14"/>
  <c r="X16" i="14"/>
  <c r="W16" i="14"/>
  <c r="Y16" i="14" s="1"/>
  <c r="V16" i="14"/>
  <c r="S16" i="14"/>
  <c r="P16" i="14"/>
  <c r="M16" i="14"/>
  <c r="J16" i="14"/>
  <c r="G16" i="14"/>
  <c r="AS15" i="14"/>
  <c r="AR15" i="14"/>
  <c r="AQ15" i="14"/>
  <c r="AN15" i="14"/>
  <c r="AK15" i="14"/>
  <c r="AH15" i="14"/>
  <c r="AE15" i="14"/>
  <c r="AB15" i="14"/>
  <c r="X15" i="14"/>
  <c r="W15" i="14"/>
  <c r="V15" i="14"/>
  <c r="S15" i="14"/>
  <c r="P15" i="14"/>
  <c r="M15" i="14"/>
  <c r="J15" i="14"/>
  <c r="G15" i="14"/>
  <c r="AS14" i="14"/>
  <c r="AS17" i="14" s="1"/>
  <c r="AR14" i="14"/>
  <c r="AQ14" i="14"/>
  <c r="AN14" i="14"/>
  <c r="AK14" i="14"/>
  <c r="AH14" i="14"/>
  <c r="AE14" i="14"/>
  <c r="AB14" i="14"/>
  <c r="X14" i="14"/>
  <c r="W14" i="14"/>
  <c r="V14" i="14"/>
  <c r="S14" i="14"/>
  <c r="P14" i="14"/>
  <c r="M14" i="14"/>
  <c r="J14" i="14"/>
  <c r="G14" i="14"/>
  <c r="AP12" i="14"/>
  <c r="AO12" i="14"/>
  <c r="AO6" i="14" s="1"/>
  <c r="AM12" i="14"/>
  <c r="AM6" i="14" s="1"/>
  <c r="AL12" i="14"/>
  <c r="AJ12" i="14"/>
  <c r="AI12" i="14"/>
  <c r="AI6" i="14" s="1"/>
  <c r="AG12" i="14"/>
  <c r="AG6" i="14" s="1"/>
  <c r="AF12" i="14"/>
  <c r="AD12" i="14"/>
  <c r="AC12" i="14"/>
  <c r="AA12" i="14"/>
  <c r="AB12" i="14" s="1"/>
  <c r="Z12" i="14"/>
  <c r="T12" i="14"/>
  <c r="Q12" i="14"/>
  <c r="Q6" i="14" s="1"/>
  <c r="O12" i="14"/>
  <c r="O6" i="14" s="1"/>
  <c r="N12" i="14"/>
  <c r="N6" i="14" s="1"/>
  <c r="L12" i="14"/>
  <c r="K12" i="14"/>
  <c r="K6" i="14" s="1"/>
  <c r="I12" i="14"/>
  <c r="I6" i="14" s="1"/>
  <c r="H12" i="14"/>
  <c r="J12" i="14" s="1"/>
  <c r="F12" i="14"/>
  <c r="F6" i="14" s="1"/>
  <c r="E12" i="14"/>
  <c r="E6" i="14" s="1"/>
  <c r="AU11" i="14"/>
  <c r="AS11" i="14"/>
  <c r="AT11" i="14" s="1"/>
  <c r="AQ11" i="14"/>
  <c r="AN11" i="14"/>
  <c r="AK11" i="14"/>
  <c r="AH11" i="14"/>
  <c r="AE11" i="14"/>
  <c r="AB11" i="14"/>
  <c r="X11" i="14"/>
  <c r="AV11" i="14" s="1"/>
  <c r="AW11" i="14" s="1"/>
  <c r="V11" i="14"/>
  <c r="S11" i="14"/>
  <c r="P11" i="14"/>
  <c r="M11" i="14"/>
  <c r="J11" i="14"/>
  <c r="G11" i="14"/>
  <c r="AT10" i="14"/>
  <c r="AS10" i="14"/>
  <c r="AR10" i="14"/>
  <c r="AQ10" i="14"/>
  <c r="AN10" i="14"/>
  <c r="AK10" i="14"/>
  <c r="AH10" i="14"/>
  <c r="AE10" i="14"/>
  <c r="AB10" i="14"/>
  <c r="X10" i="14"/>
  <c r="W10" i="14"/>
  <c r="AU10" i="14" s="1"/>
  <c r="V10" i="14"/>
  <c r="S10" i="14"/>
  <c r="P10" i="14"/>
  <c r="M10" i="14"/>
  <c r="J10" i="14"/>
  <c r="G10" i="14"/>
  <c r="AS9" i="14"/>
  <c r="AT9" i="14" s="1"/>
  <c r="AR9" i="14"/>
  <c r="AQ9" i="14"/>
  <c r="AN9" i="14"/>
  <c r="AK9" i="14"/>
  <c r="AH9" i="14"/>
  <c r="AE9" i="14"/>
  <c r="AB9" i="14"/>
  <c r="X9" i="14"/>
  <c r="AV9" i="14" s="1"/>
  <c r="W9" i="14"/>
  <c r="AU9" i="14" s="1"/>
  <c r="V9" i="14"/>
  <c r="S9" i="14"/>
  <c r="P9" i="14"/>
  <c r="M9" i="14"/>
  <c r="J9" i="14"/>
  <c r="G9" i="14"/>
  <c r="AS8" i="14"/>
  <c r="AS12" i="14" s="1"/>
  <c r="AQ8" i="14"/>
  <c r="AN8" i="14"/>
  <c r="AK8" i="14"/>
  <c r="AH8" i="14"/>
  <c r="AE8" i="14"/>
  <c r="AB8" i="14"/>
  <c r="AR8" i="14" s="1"/>
  <c r="X8" i="14"/>
  <c r="W8" i="14"/>
  <c r="V8" i="14"/>
  <c r="S8" i="14"/>
  <c r="P8" i="14"/>
  <c r="M8" i="14"/>
  <c r="J8" i="14"/>
  <c r="G8" i="14"/>
  <c r="AL6" i="14"/>
  <c r="AP23" i="13"/>
  <c r="AO23" i="13"/>
  <c r="AQ23" i="13" s="1"/>
  <c r="AM23" i="13"/>
  <c r="AL23" i="13"/>
  <c r="AJ23" i="13"/>
  <c r="AK23" i="13" s="1"/>
  <c r="AI23" i="13"/>
  <c r="AG23" i="13"/>
  <c r="AH23" i="13" s="1"/>
  <c r="AF23" i="13"/>
  <c r="AD23" i="13"/>
  <c r="AC23" i="13"/>
  <c r="AA23" i="13"/>
  <c r="Z23" i="13"/>
  <c r="U23" i="13"/>
  <c r="T23" i="13"/>
  <c r="V23" i="13" s="1"/>
  <c r="R23" i="13"/>
  <c r="Q23" i="13"/>
  <c r="O23" i="13"/>
  <c r="N23" i="13"/>
  <c r="L23" i="13"/>
  <c r="K23" i="13"/>
  <c r="I23" i="13"/>
  <c r="J23" i="13" s="1"/>
  <c r="H23" i="13"/>
  <c r="F23" i="13"/>
  <c r="G23" i="13" s="1"/>
  <c r="E23" i="13"/>
  <c r="AS22" i="13"/>
  <c r="AR22" i="13"/>
  <c r="AQ22" i="13"/>
  <c r="AN22" i="13"/>
  <c r="AK22" i="13"/>
  <c r="AH22" i="13"/>
  <c r="AE22" i="13"/>
  <c r="AB22" i="13"/>
  <c r="X22" i="13"/>
  <c r="AV22" i="13" s="1"/>
  <c r="W22" i="13"/>
  <c r="AU22" i="13" s="1"/>
  <c r="V22" i="13"/>
  <c r="S22" i="13"/>
  <c r="P22" i="13"/>
  <c r="M22" i="13"/>
  <c r="J22" i="13"/>
  <c r="G22" i="13"/>
  <c r="AS21" i="13"/>
  <c r="AR21" i="13"/>
  <c r="AQ21" i="13"/>
  <c r="AN21" i="13"/>
  <c r="AK21" i="13"/>
  <c r="AH21" i="13"/>
  <c r="AE21" i="13"/>
  <c r="AB21" i="13"/>
  <c r="X21" i="13"/>
  <c r="AV21" i="13" s="1"/>
  <c r="W21" i="13"/>
  <c r="AU21" i="13" s="1"/>
  <c r="V21" i="13"/>
  <c r="S21" i="13"/>
  <c r="P21" i="13"/>
  <c r="M21" i="13"/>
  <c r="J21" i="13"/>
  <c r="G21" i="13"/>
  <c r="AS20" i="13"/>
  <c r="AT20" i="13" s="1"/>
  <c r="AR20" i="13"/>
  <c r="AQ20" i="13"/>
  <c r="AN20" i="13"/>
  <c r="AK20" i="13"/>
  <c r="AH20" i="13"/>
  <c r="AE20" i="13"/>
  <c r="AB20" i="13"/>
  <c r="X20" i="13"/>
  <c r="AV20" i="13" s="1"/>
  <c r="W20" i="13"/>
  <c r="AU20" i="13" s="1"/>
  <c r="V20" i="13"/>
  <c r="S20" i="13"/>
  <c r="P20" i="13"/>
  <c r="M20" i="13"/>
  <c r="J20" i="13"/>
  <c r="G20" i="13"/>
  <c r="AS19" i="13"/>
  <c r="AS23" i="13" s="1"/>
  <c r="AR19" i="13"/>
  <c r="AQ19" i="13"/>
  <c r="AN19" i="13"/>
  <c r="AK19" i="13"/>
  <c r="AH19" i="13"/>
  <c r="AE19" i="13"/>
  <c r="AB19" i="13"/>
  <c r="X19" i="13"/>
  <c r="Y19" i="13" s="1"/>
  <c r="W19" i="13"/>
  <c r="V19" i="13"/>
  <c r="S19" i="13"/>
  <c r="P19" i="13"/>
  <c r="M19" i="13"/>
  <c r="J19" i="13"/>
  <c r="G19" i="13"/>
  <c r="AP17" i="13"/>
  <c r="AO17" i="13"/>
  <c r="AM17" i="13"/>
  <c r="AL17" i="13"/>
  <c r="AJ17" i="13"/>
  <c r="AI17" i="13"/>
  <c r="AG17" i="13"/>
  <c r="AH17" i="13" s="1"/>
  <c r="AF17" i="13"/>
  <c r="AD17" i="13"/>
  <c r="AE17" i="13" s="1"/>
  <c r="AC17" i="13"/>
  <c r="AA17" i="13"/>
  <c r="AB17" i="13" s="1"/>
  <c r="Z17" i="13"/>
  <c r="U17" i="13"/>
  <c r="T17" i="13"/>
  <c r="R17" i="13"/>
  <c r="Q17" i="13"/>
  <c r="O17" i="13"/>
  <c r="N17" i="13"/>
  <c r="L17" i="13"/>
  <c r="K17" i="13"/>
  <c r="I17" i="13"/>
  <c r="H17" i="13"/>
  <c r="F17" i="13"/>
  <c r="E17" i="13"/>
  <c r="AS16" i="13"/>
  <c r="AR16" i="13"/>
  <c r="AQ16" i="13"/>
  <c r="AN16" i="13"/>
  <c r="AK16" i="13"/>
  <c r="AH16" i="13"/>
  <c r="AE16" i="13"/>
  <c r="AB16" i="13"/>
  <c r="X16" i="13"/>
  <c r="W16" i="13"/>
  <c r="AU16" i="13" s="1"/>
  <c r="V16" i="13"/>
  <c r="S16" i="13"/>
  <c r="P16" i="13"/>
  <c r="M16" i="13"/>
  <c r="J16" i="13"/>
  <c r="G16" i="13"/>
  <c r="AS15" i="13"/>
  <c r="AR15" i="13"/>
  <c r="AQ15" i="13"/>
  <c r="AN15" i="13"/>
  <c r="AK15" i="13"/>
  <c r="AH15" i="13"/>
  <c r="AE15" i="13"/>
  <c r="AB15" i="13"/>
  <c r="X15" i="13"/>
  <c r="W15" i="13"/>
  <c r="W17" i="13" s="1"/>
  <c r="V15" i="13"/>
  <c r="S15" i="13"/>
  <c r="P15" i="13"/>
  <c r="M15" i="13"/>
  <c r="J15" i="13"/>
  <c r="G15" i="13"/>
  <c r="AS14" i="13"/>
  <c r="AS17" i="13" s="1"/>
  <c r="AR14" i="13"/>
  <c r="AR17" i="13" s="1"/>
  <c r="AQ14" i="13"/>
  <c r="AN14" i="13"/>
  <c r="AK14" i="13"/>
  <c r="AH14" i="13"/>
  <c r="AE14" i="13"/>
  <c r="AB14" i="13"/>
  <c r="X14" i="13"/>
  <c r="W14" i="13"/>
  <c r="AU14" i="13" s="1"/>
  <c r="V14" i="13"/>
  <c r="S14" i="13"/>
  <c r="P14" i="13"/>
  <c r="M14" i="13"/>
  <c r="J14" i="13"/>
  <c r="G14" i="13"/>
  <c r="AP12" i="13"/>
  <c r="AQ12" i="13" s="1"/>
  <c r="AO12" i="13"/>
  <c r="AM12" i="13"/>
  <c r="AN12" i="13" s="1"/>
  <c r="AL12" i="13"/>
  <c r="AJ12" i="13"/>
  <c r="AI12" i="13"/>
  <c r="AK12" i="13" s="1"/>
  <c r="AG12" i="13"/>
  <c r="AF12" i="13"/>
  <c r="AD12" i="13"/>
  <c r="AC12" i="13"/>
  <c r="AC6" i="13" s="1"/>
  <c r="AA12" i="13"/>
  <c r="Z12" i="13"/>
  <c r="Z6" i="13" s="1"/>
  <c r="U12" i="13"/>
  <c r="U6" i="13" s="1"/>
  <c r="T12" i="13"/>
  <c r="T6" i="13" s="1"/>
  <c r="R12" i="13"/>
  <c r="Q12" i="13"/>
  <c r="O12" i="13"/>
  <c r="N12" i="13"/>
  <c r="M12" i="13"/>
  <c r="L12" i="13"/>
  <c r="K12" i="13"/>
  <c r="I12" i="13"/>
  <c r="H12" i="13"/>
  <c r="F12" i="13"/>
  <c r="E12" i="13"/>
  <c r="AU11" i="13"/>
  <c r="AS11" i="13"/>
  <c r="AT11" i="13" s="1"/>
  <c r="AQ11" i="13"/>
  <c r="AN11" i="13"/>
  <c r="AK11" i="13"/>
  <c r="AH11" i="13"/>
  <c r="AE11" i="13"/>
  <c r="AB11" i="13"/>
  <c r="X11" i="13"/>
  <c r="Y11" i="13" s="1"/>
  <c r="V11" i="13"/>
  <c r="S11" i="13"/>
  <c r="P11" i="13"/>
  <c r="M11" i="13"/>
  <c r="J11" i="13"/>
  <c r="G11" i="13"/>
  <c r="AS10" i="13"/>
  <c r="AT10" i="13" s="1"/>
  <c r="AR10" i="13"/>
  <c r="AQ10" i="13"/>
  <c r="AN10" i="13"/>
  <c r="AK10" i="13"/>
  <c r="AH10" i="13"/>
  <c r="AE10" i="13"/>
  <c r="AB10" i="13"/>
  <c r="X10" i="13"/>
  <c r="W10" i="13"/>
  <c r="V10" i="13"/>
  <c r="S10" i="13"/>
  <c r="P10" i="13"/>
  <c r="M10" i="13"/>
  <c r="J10" i="13"/>
  <c r="G10" i="13"/>
  <c r="AS9" i="13"/>
  <c r="AR9" i="13"/>
  <c r="AT9" i="13" s="1"/>
  <c r="AQ9" i="13"/>
  <c r="AN9" i="13"/>
  <c r="AK9" i="13"/>
  <c r="AH9" i="13"/>
  <c r="AE9" i="13"/>
  <c r="AB9" i="13"/>
  <c r="X9" i="13"/>
  <c r="Y9" i="13" s="1"/>
  <c r="W9" i="13"/>
  <c r="V9" i="13"/>
  <c r="S9" i="13"/>
  <c r="P9" i="13"/>
  <c r="M9" i="13"/>
  <c r="J9" i="13"/>
  <c r="G9" i="13"/>
  <c r="AS8" i="13"/>
  <c r="AQ8" i="13"/>
  <c r="AN8" i="13"/>
  <c r="AK8" i="13"/>
  <c r="AH8" i="13"/>
  <c r="AE8" i="13"/>
  <c r="AB8" i="13"/>
  <c r="X8" i="13"/>
  <c r="AV8" i="13" s="1"/>
  <c r="W8" i="13"/>
  <c r="V8" i="13"/>
  <c r="S8" i="13"/>
  <c r="P8" i="13"/>
  <c r="M8" i="13"/>
  <c r="J8" i="13"/>
  <c r="G8" i="13"/>
  <c r="AP23" i="12"/>
  <c r="AO23" i="12"/>
  <c r="AM23" i="12"/>
  <c r="AL23" i="12"/>
  <c r="AJ23" i="12"/>
  <c r="AI23" i="12"/>
  <c r="AG23" i="12"/>
  <c r="AH23" i="12" s="1"/>
  <c r="AF23" i="12"/>
  <c r="AD23" i="12"/>
  <c r="AC23" i="12"/>
  <c r="AA23" i="12"/>
  <c r="Z23" i="12"/>
  <c r="U23" i="12"/>
  <c r="T23" i="12"/>
  <c r="R23" i="12"/>
  <c r="Q23" i="12"/>
  <c r="O23" i="12"/>
  <c r="N23" i="12"/>
  <c r="L23" i="12"/>
  <c r="K23" i="12"/>
  <c r="I23" i="12"/>
  <c r="H23" i="12"/>
  <c r="F23" i="12"/>
  <c r="E23" i="12"/>
  <c r="AS22" i="12"/>
  <c r="AR22" i="12"/>
  <c r="AQ22" i="12"/>
  <c r="AN22" i="12"/>
  <c r="AK22" i="12"/>
  <c r="AH22" i="12"/>
  <c r="AE22" i="12"/>
  <c r="AB22" i="12"/>
  <c r="X22" i="12"/>
  <c r="W22" i="12"/>
  <c r="AU22" i="12" s="1"/>
  <c r="V22" i="12"/>
  <c r="S22" i="12"/>
  <c r="P22" i="12"/>
  <c r="M22" i="12"/>
  <c r="J22" i="12"/>
  <c r="G22" i="12"/>
  <c r="AS21" i="12"/>
  <c r="AT21" i="12" s="1"/>
  <c r="AR21" i="12"/>
  <c r="AQ21" i="12"/>
  <c r="AN21" i="12"/>
  <c r="AK21" i="12"/>
  <c r="AH21" i="12"/>
  <c r="AE21" i="12"/>
  <c r="AB21" i="12"/>
  <c r="X21" i="12"/>
  <c r="AV21" i="12" s="1"/>
  <c r="W21" i="12"/>
  <c r="AU21" i="12" s="1"/>
  <c r="V21" i="12"/>
  <c r="S21" i="12"/>
  <c r="P21" i="12"/>
  <c r="M21" i="12"/>
  <c r="J21" i="12"/>
  <c r="G21" i="12"/>
  <c r="AS20" i="12"/>
  <c r="AT20" i="12" s="1"/>
  <c r="AR20" i="12"/>
  <c r="AQ20" i="12"/>
  <c r="AN20" i="12"/>
  <c r="AK20" i="12"/>
  <c r="AH20" i="12"/>
  <c r="AE20" i="12"/>
  <c r="AB20" i="12"/>
  <c r="X20" i="12"/>
  <c r="W20" i="12"/>
  <c r="AU20" i="12" s="1"/>
  <c r="V20" i="12"/>
  <c r="S20" i="12"/>
  <c r="P20" i="12"/>
  <c r="M20" i="12"/>
  <c r="J20" i="12"/>
  <c r="G20" i="12"/>
  <c r="AS19" i="12"/>
  <c r="AS23" i="12" s="1"/>
  <c r="AR19" i="12"/>
  <c r="AQ19" i="12"/>
  <c r="AN19" i="12"/>
  <c r="AK19" i="12"/>
  <c r="AH19" i="12"/>
  <c r="AE19" i="12"/>
  <c r="AB19" i="12"/>
  <c r="X19" i="12"/>
  <c r="W19" i="12"/>
  <c r="V19" i="12"/>
  <c r="S19" i="12"/>
  <c r="P19" i="12"/>
  <c r="M19" i="12"/>
  <c r="J19" i="12"/>
  <c r="G19" i="12"/>
  <c r="AP17" i="12"/>
  <c r="AO17" i="12"/>
  <c r="AM17" i="12"/>
  <c r="AL17" i="12"/>
  <c r="AJ17" i="12"/>
  <c r="AI17" i="12"/>
  <c r="AG17" i="12"/>
  <c r="AF17" i="12"/>
  <c r="AD17" i="12"/>
  <c r="AC17" i="12"/>
  <c r="AA17" i="12"/>
  <c r="Z17" i="12"/>
  <c r="AB17" i="12" s="1"/>
  <c r="U17" i="12"/>
  <c r="V17" i="12" s="1"/>
  <c r="T17" i="12"/>
  <c r="R17" i="12"/>
  <c r="S17" i="12" s="1"/>
  <c r="Q17" i="12"/>
  <c r="O17" i="12"/>
  <c r="N17" i="12"/>
  <c r="P17" i="12" s="1"/>
  <c r="L17" i="12"/>
  <c r="K17" i="12"/>
  <c r="K6" i="12" s="1"/>
  <c r="I17" i="12"/>
  <c r="H17" i="12"/>
  <c r="F17" i="12"/>
  <c r="E17" i="12"/>
  <c r="AS16" i="12"/>
  <c r="AR16" i="12"/>
  <c r="AQ16" i="12"/>
  <c r="AN16" i="12"/>
  <c r="AK16" i="12"/>
  <c r="AH16" i="12"/>
  <c r="AE16" i="12"/>
  <c r="AB16" i="12"/>
  <c r="X16" i="12"/>
  <c r="W16" i="12"/>
  <c r="V16" i="12"/>
  <c r="S16" i="12"/>
  <c r="P16" i="12"/>
  <c r="M16" i="12"/>
  <c r="J16" i="12"/>
  <c r="G16" i="12"/>
  <c r="AS15" i="12"/>
  <c r="AR15" i="12"/>
  <c r="AQ15" i="12"/>
  <c r="AN15" i="12"/>
  <c r="AK15" i="12"/>
  <c r="AH15" i="12"/>
  <c r="AE15" i="12"/>
  <c r="AB15" i="12"/>
  <c r="X15" i="12"/>
  <c r="W15" i="12"/>
  <c r="V15" i="12"/>
  <c r="S15" i="12"/>
  <c r="P15" i="12"/>
  <c r="M15" i="12"/>
  <c r="J15" i="12"/>
  <c r="G15" i="12"/>
  <c r="AS14" i="12"/>
  <c r="AR14" i="12"/>
  <c r="AQ14" i="12"/>
  <c r="AN14" i="12"/>
  <c r="AK14" i="12"/>
  <c r="AH14" i="12"/>
  <c r="AE14" i="12"/>
  <c r="AB14" i="12"/>
  <c r="X14" i="12"/>
  <c r="W14" i="12"/>
  <c r="V14" i="12"/>
  <c r="S14" i="12"/>
  <c r="P14" i="12"/>
  <c r="M14" i="12"/>
  <c r="J14" i="12"/>
  <c r="G14" i="12"/>
  <c r="AP12" i="12"/>
  <c r="AP6" i="12" s="1"/>
  <c r="AO12" i="12"/>
  <c r="AO6" i="12" s="1"/>
  <c r="AM12" i="12"/>
  <c r="AL12" i="12"/>
  <c r="AJ12" i="12"/>
  <c r="AK12" i="12" s="1"/>
  <c r="AI12" i="12"/>
  <c r="AG12" i="12"/>
  <c r="AF12" i="12"/>
  <c r="AD12" i="12"/>
  <c r="AC12" i="12"/>
  <c r="AA12" i="12"/>
  <c r="Z12" i="12"/>
  <c r="Z6" i="12" s="1"/>
  <c r="U12" i="12"/>
  <c r="T12" i="12"/>
  <c r="R12" i="12"/>
  <c r="R6" i="12" s="1"/>
  <c r="Q12" i="12"/>
  <c r="Q6" i="12" s="1"/>
  <c r="O12" i="12"/>
  <c r="N12" i="12"/>
  <c r="P12" i="12" s="1"/>
  <c r="L12" i="12"/>
  <c r="K12" i="12"/>
  <c r="I12" i="12"/>
  <c r="J12" i="12" s="1"/>
  <c r="H12" i="12"/>
  <c r="F12" i="12"/>
  <c r="E12" i="12"/>
  <c r="AU11" i="12"/>
  <c r="AS11" i="12"/>
  <c r="AT11" i="12" s="1"/>
  <c r="AQ11" i="12"/>
  <c r="AN11" i="12"/>
  <c r="AK11" i="12"/>
  <c r="AH11" i="12"/>
  <c r="AE11" i="12"/>
  <c r="AB11" i="12"/>
  <c r="X11" i="12"/>
  <c r="Y11" i="12" s="1"/>
  <c r="V11" i="12"/>
  <c r="S11" i="12"/>
  <c r="P11" i="12"/>
  <c r="M11" i="12"/>
  <c r="J11" i="12"/>
  <c r="G11" i="12"/>
  <c r="AS10" i="12"/>
  <c r="AR10" i="12"/>
  <c r="AQ10" i="12"/>
  <c r="AN10" i="12"/>
  <c r="AK10" i="12"/>
  <c r="AH10" i="12"/>
  <c r="AE10" i="12"/>
  <c r="AB10" i="12"/>
  <c r="X10" i="12"/>
  <c r="W10" i="12"/>
  <c r="AU10" i="12" s="1"/>
  <c r="V10" i="12"/>
  <c r="S10" i="12"/>
  <c r="P10" i="12"/>
  <c r="M10" i="12"/>
  <c r="J10" i="12"/>
  <c r="G10" i="12"/>
  <c r="AS9" i="12"/>
  <c r="AR9" i="12"/>
  <c r="AQ9" i="12"/>
  <c r="AN9" i="12"/>
  <c r="AK9" i="12"/>
  <c r="AH9" i="12"/>
  <c r="AE9" i="12"/>
  <c r="AB9" i="12"/>
  <c r="X9" i="12"/>
  <c r="AV9" i="12" s="1"/>
  <c r="W9" i="12"/>
  <c r="Y9" i="12" s="1"/>
  <c r="V9" i="12"/>
  <c r="S9" i="12"/>
  <c r="P9" i="12"/>
  <c r="M9" i="12"/>
  <c r="J9" i="12"/>
  <c r="G9" i="12"/>
  <c r="AS8" i="12"/>
  <c r="AQ8" i="12"/>
  <c r="AN8" i="12"/>
  <c r="AK8" i="12"/>
  <c r="AH8" i="12"/>
  <c r="AE8" i="12"/>
  <c r="AB8" i="12"/>
  <c r="AR8" i="12" s="1"/>
  <c r="X8" i="12"/>
  <c r="W8" i="12"/>
  <c r="V8" i="12"/>
  <c r="S8" i="12"/>
  <c r="P8" i="12"/>
  <c r="M8" i="12"/>
  <c r="J8" i="12"/>
  <c r="G8" i="12"/>
  <c r="AU11" i="9"/>
  <c r="AS22" i="9"/>
  <c r="AS21" i="9"/>
  <c r="AS20" i="9"/>
  <c r="AS19" i="9"/>
  <c r="AS16" i="9"/>
  <c r="AS15" i="9"/>
  <c r="AS14" i="9"/>
  <c r="AS11" i="9"/>
  <c r="AT11" i="9" s="1"/>
  <c r="AS10" i="9"/>
  <c r="AS9" i="9"/>
  <c r="AS8" i="9"/>
  <c r="AP23" i="9"/>
  <c r="AP17" i="9"/>
  <c r="AP12" i="9"/>
  <c r="AM23" i="9"/>
  <c r="AM17" i="9"/>
  <c r="AM12" i="9"/>
  <c r="AJ23" i="9"/>
  <c r="AJ17" i="9"/>
  <c r="AJ12" i="9"/>
  <c r="AG23" i="9"/>
  <c r="AG17" i="9"/>
  <c r="AG12" i="9"/>
  <c r="AD23" i="9"/>
  <c r="AD17" i="9"/>
  <c r="AD12" i="9"/>
  <c r="AA23" i="9"/>
  <c r="AA17" i="9"/>
  <c r="AA12" i="9"/>
  <c r="AQ22" i="9"/>
  <c r="AQ21" i="9"/>
  <c r="AQ20" i="9"/>
  <c r="AQ19" i="9"/>
  <c r="AQ16" i="9"/>
  <c r="AQ15" i="9"/>
  <c r="AQ14" i="9"/>
  <c r="AQ11" i="9"/>
  <c r="AQ10" i="9"/>
  <c r="AQ9" i="9"/>
  <c r="AQ8" i="9"/>
  <c r="AN22" i="9"/>
  <c r="AN21" i="9"/>
  <c r="AN20" i="9"/>
  <c r="AN19" i="9"/>
  <c r="AN16" i="9"/>
  <c r="AN15" i="9"/>
  <c r="AN14" i="9"/>
  <c r="AN11" i="9"/>
  <c r="AN10" i="9"/>
  <c r="AN9" i="9"/>
  <c r="AN8" i="9"/>
  <c r="AK22" i="9"/>
  <c r="AK21" i="9"/>
  <c r="AK20" i="9"/>
  <c r="AK19" i="9"/>
  <c r="AK16" i="9"/>
  <c r="AK15" i="9"/>
  <c r="AK14" i="9"/>
  <c r="AK11" i="9"/>
  <c r="AK10" i="9"/>
  <c r="AK9" i="9"/>
  <c r="AK8" i="9"/>
  <c r="AL12" i="9"/>
  <c r="AL17" i="9"/>
  <c r="AL23" i="9"/>
  <c r="AR19" i="9"/>
  <c r="AR15" i="9"/>
  <c r="AR9" i="9"/>
  <c r="AT9" i="9" s="1"/>
  <c r="AH22" i="9"/>
  <c r="AH21" i="9"/>
  <c r="AH20" i="9"/>
  <c r="AH19" i="9"/>
  <c r="AH16" i="9"/>
  <c r="AH15" i="9"/>
  <c r="AH14" i="9"/>
  <c r="AH11" i="9"/>
  <c r="AH10" i="9"/>
  <c r="AH9" i="9"/>
  <c r="AH8" i="9"/>
  <c r="AE22" i="9"/>
  <c r="AE21" i="9"/>
  <c r="AE20" i="9"/>
  <c r="AE19" i="9"/>
  <c r="AE16" i="9"/>
  <c r="AE15" i="9"/>
  <c r="AE14" i="9"/>
  <c r="AE11" i="9"/>
  <c r="AE10" i="9"/>
  <c r="AE9" i="9"/>
  <c r="AE8" i="9"/>
  <c r="AB22" i="9"/>
  <c r="AB21" i="9"/>
  <c r="AB20" i="9"/>
  <c r="AB19" i="9"/>
  <c r="AB16" i="9"/>
  <c r="AB15" i="9"/>
  <c r="AB14" i="9"/>
  <c r="AB11" i="9"/>
  <c r="AB10" i="9"/>
  <c r="AB9" i="9"/>
  <c r="AB8" i="9"/>
  <c r="V14" i="9"/>
  <c r="V15" i="9"/>
  <c r="V16" i="9"/>
  <c r="V19" i="9"/>
  <c r="V20" i="9"/>
  <c r="V21" i="9"/>
  <c r="V22" i="9"/>
  <c r="S22" i="9"/>
  <c r="S21" i="9"/>
  <c r="S20" i="9"/>
  <c r="S19" i="9"/>
  <c r="S16" i="9"/>
  <c r="S15" i="9"/>
  <c r="S14" i="9"/>
  <c r="P14" i="9"/>
  <c r="P15" i="9"/>
  <c r="P16" i="9"/>
  <c r="P19" i="9"/>
  <c r="P20" i="9"/>
  <c r="P21" i="9"/>
  <c r="P22" i="9"/>
  <c r="M22" i="9"/>
  <c r="M21" i="9"/>
  <c r="M20" i="9"/>
  <c r="M19" i="9"/>
  <c r="M16" i="9"/>
  <c r="M15" i="9"/>
  <c r="M14" i="9"/>
  <c r="J14" i="9"/>
  <c r="J15" i="9"/>
  <c r="J16" i="9"/>
  <c r="J19" i="9"/>
  <c r="J20" i="9"/>
  <c r="J21" i="9"/>
  <c r="J22" i="9"/>
  <c r="G22" i="9"/>
  <c r="G21" i="9"/>
  <c r="G20" i="9"/>
  <c r="G19" i="9"/>
  <c r="G16" i="9"/>
  <c r="G15" i="9"/>
  <c r="G14" i="9"/>
  <c r="V9" i="9"/>
  <c r="V8" i="9"/>
  <c r="V11" i="9"/>
  <c r="V10" i="9"/>
  <c r="S11" i="9"/>
  <c r="S10" i="9"/>
  <c r="S9" i="9"/>
  <c r="S8" i="9"/>
  <c r="P11" i="9"/>
  <c r="P10" i="9"/>
  <c r="P9" i="9"/>
  <c r="P8" i="9"/>
  <c r="M11" i="9"/>
  <c r="M10" i="9"/>
  <c r="M9" i="9"/>
  <c r="M8" i="9"/>
  <c r="J11" i="9"/>
  <c r="J10" i="9"/>
  <c r="J9" i="9"/>
  <c r="J8" i="9"/>
  <c r="G11" i="9"/>
  <c r="G10" i="9"/>
  <c r="G9" i="9"/>
  <c r="G8" i="9"/>
  <c r="X22" i="9"/>
  <c r="AV22" i="9" s="1"/>
  <c r="X21" i="9"/>
  <c r="X20" i="9"/>
  <c r="X19" i="9"/>
  <c r="X16" i="9"/>
  <c r="X15" i="9"/>
  <c r="X14" i="9"/>
  <c r="X11" i="9"/>
  <c r="Y11" i="9" s="1"/>
  <c r="N12" i="9"/>
  <c r="N17" i="9"/>
  <c r="N23" i="9"/>
  <c r="AO12" i="9"/>
  <c r="AQ12" i="9" s="1"/>
  <c r="AI12" i="9"/>
  <c r="AF12" i="9"/>
  <c r="AC12" i="9"/>
  <c r="Z12" i="9"/>
  <c r="U12" i="9"/>
  <c r="R12" i="9"/>
  <c r="Q12" i="9"/>
  <c r="O12" i="9"/>
  <c r="L12" i="9"/>
  <c r="K12" i="9"/>
  <c r="F12" i="9"/>
  <c r="I12" i="9"/>
  <c r="H12" i="9"/>
  <c r="E12" i="9"/>
  <c r="AR22" i="9"/>
  <c r="AT22" i="9" s="1"/>
  <c r="AR20" i="9"/>
  <c r="E17" i="9"/>
  <c r="H17" i="9"/>
  <c r="W9" i="9"/>
  <c r="W8" i="9"/>
  <c r="E16" i="11"/>
  <c r="F16" i="11" s="1"/>
  <c r="E14" i="11"/>
  <c r="F14" i="11" s="1"/>
  <c r="D12" i="11"/>
  <c r="D13" i="11" s="1"/>
  <c r="AR21" i="9"/>
  <c r="AR16" i="9"/>
  <c r="AR14" i="9"/>
  <c r="W22" i="9"/>
  <c r="W21" i="9"/>
  <c r="W20" i="9"/>
  <c r="W19" i="9"/>
  <c r="W16" i="9"/>
  <c r="W15" i="9"/>
  <c r="W14" i="9"/>
  <c r="AR10" i="9"/>
  <c r="X10" i="9"/>
  <c r="X9" i="9"/>
  <c r="X8" i="9"/>
  <c r="W10" i="9"/>
  <c r="AO23" i="9"/>
  <c r="AI23" i="9"/>
  <c r="AF23" i="9"/>
  <c r="AC23" i="9"/>
  <c r="Z23" i="9"/>
  <c r="U23" i="9"/>
  <c r="T23" i="9"/>
  <c r="R23" i="9"/>
  <c r="Q23" i="9"/>
  <c r="O23" i="9"/>
  <c r="L23" i="9"/>
  <c r="K23" i="9"/>
  <c r="I23" i="9"/>
  <c r="H23" i="9"/>
  <c r="F23" i="9"/>
  <c r="E23" i="9"/>
  <c r="T12" i="9"/>
  <c r="AO17" i="9"/>
  <c r="AI17" i="9"/>
  <c r="AF17" i="9"/>
  <c r="AC17" i="9"/>
  <c r="Z17" i="9"/>
  <c r="U17" i="9"/>
  <c r="T17" i="9"/>
  <c r="R17" i="9"/>
  <c r="Q17" i="9"/>
  <c r="O17" i="9"/>
  <c r="L17" i="9"/>
  <c r="K17" i="9"/>
  <c r="I17" i="9"/>
  <c r="F17" i="9"/>
  <c r="AK12" i="14" l="1"/>
  <c r="AQ6" i="12"/>
  <c r="AR8" i="13"/>
  <c r="W12" i="12"/>
  <c r="G17" i="12"/>
  <c r="AH17" i="12"/>
  <c r="AQ12" i="14"/>
  <c r="AB12" i="13"/>
  <c r="P6" i="14"/>
  <c r="AB12" i="12"/>
  <c r="E6" i="13"/>
  <c r="Y8" i="14"/>
  <c r="AC6" i="12"/>
  <c r="AM6" i="12"/>
  <c r="Y14" i="12"/>
  <c r="Y15" i="12"/>
  <c r="AV16" i="12"/>
  <c r="AR23" i="12"/>
  <c r="AB23" i="12"/>
  <c r="H6" i="13"/>
  <c r="S17" i="13"/>
  <c r="AQ17" i="13"/>
  <c r="AR23" i="13"/>
  <c r="AB23" i="13"/>
  <c r="AK17" i="14"/>
  <c r="AW21" i="12"/>
  <c r="J23" i="14"/>
  <c r="L6" i="13"/>
  <c r="M6" i="13" s="1"/>
  <c r="V23" i="12"/>
  <c r="AU14" i="12"/>
  <c r="J17" i="14"/>
  <c r="AT10" i="12"/>
  <c r="AG6" i="12"/>
  <c r="AH6" i="12" s="1"/>
  <c r="AH12" i="12"/>
  <c r="AT22" i="12"/>
  <c r="AE23" i="12"/>
  <c r="AT21" i="13"/>
  <c r="AT22" i="13"/>
  <c r="AE23" i="13"/>
  <c r="AC6" i="14"/>
  <c r="AE6" i="14" s="1"/>
  <c r="AN17" i="14"/>
  <c r="AR6" i="15"/>
  <c r="AT6" i="15" s="1"/>
  <c r="V12" i="13"/>
  <c r="AR17" i="14"/>
  <c r="AT17" i="14" s="1"/>
  <c r="S23" i="12"/>
  <c r="Y22" i="14"/>
  <c r="AV15" i="13"/>
  <c r="P23" i="14"/>
  <c r="AU16" i="12"/>
  <c r="AF6" i="12"/>
  <c r="AT21" i="9"/>
  <c r="H6" i="12"/>
  <c r="G23" i="12"/>
  <c r="AE12" i="14"/>
  <c r="AV16" i="14"/>
  <c r="AT16" i="12"/>
  <c r="AN23" i="13"/>
  <c r="AJ6" i="13"/>
  <c r="AN23" i="14"/>
  <c r="AK17" i="12"/>
  <c r="AS12" i="13"/>
  <c r="AS6" i="13" s="1"/>
  <c r="AP6" i="13"/>
  <c r="AF6" i="13"/>
  <c r="AA6" i="12"/>
  <c r="AB6" i="12" s="1"/>
  <c r="E6" i="12"/>
  <c r="AU9" i="13"/>
  <c r="AU10" i="13"/>
  <c r="AH12" i="14"/>
  <c r="AS23" i="14"/>
  <c r="AT23" i="14" s="1"/>
  <c r="M23" i="12"/>
  <c r="AW20" i="13"/>
  <c r="AN6" i="14"/>
  <c r="I6" i="13"/>
  <c r="M12" i="14"/>
  <c r="Y20" i="14"/>
  <c r="G17" i="14"/>
  <c r="AD6" i="13"/>
  <c r="AE6" i="13" s="1"/>
  <c r="Y6" i="17"/>
  <c r="AS12" i="12"/>
  <c r="AT12" i="12" s="1"/>
  <c r="AN12" i="12"/>
  <c r="AK23" i="12"/>
  <c r="AV10" i="13"/>
  <c r="AT16" i="13"/>
  <c r="AV20" i="14"/>
  <c r="AE23" i="14"/>
  <c r="AU17" i="18"/>
  <c r="AU18" i="18" s="1"/>
  <c r="AT17" i="18"/>
  <c r="AR18" i="18"/>
  <c r="AT18" i="18" s="1"/>
  <c r="AW17" i="18"/>
  <c r="AV18" i="18"/>
  <c r="AW18" i="18" s="1"/>
  <c r="S6" i="12"/>
  <c r="AU8" i="12"/>
  <c r="AR12" i="12"/>
  <c r="Y10" i="12"/>
  <c r="Y16" i="12"/>
  <c r="O6" i="12"/>
  <c r="AG6" i="13"/>
  <c r="R6" i="14"/>
  <c r="S6" i="14" s="1"/>
  <c r="AN12" i="14"/>
  <c r="AN17" i="12"/>
  <c r="Y22" i="12"/>
  <c r="G12" i="13"/>
  <c r="AK17" i="13"/>
  <c r="M23" i="13"/>
  <c r="AB6" i="14"/>
  <c r="AW9" i="14"/>
  <c r="Y10" i="14"/>
  <c r="P12" i="14"/>
  <c r="S23" i="14"/>
  <c r="AQ23" i="14"/>
  <c r="S12" i="12"/>
  <c r="Y16" i="13"/>
  <c r="AQ17" i="14"/>
  <c r="T6" i="12"/>
  <c r="AT14" i="12"/>
  <c r="AR17" i="12"/>
  <c r="AN23" i="12"/>
  <c r="K6" i="13"/>
  <c r="P17" i="13"/>
  <c r="AN17" i="13"/>
  <c r="S12" i="14"/>
  <c r="AT16" i="14"/>
  <c r="AU19" i="14"/>
  <c r="V23" i="14"/>
  <c r="AT9" i="12"/>
  <c r="V12" i="12"/>
  <c r="Q6" i="13"/>
  <c r="AO6" i="13"/>
  <c r="T6" i="14"/>
  <c r="AU16" i="14"/>
  <c r="AB17" i="14"/>
  <c r="AT14" i="14"/>
  <c r="AT10" i="9"/>
  <c r="AT16" i="9"/>
  <c r="AU9" i="12"/>
  <c r="AW9" i="12" s="1"/>
  <c r="AV15" i="12"/>
  <c r="AW15" i="12" s="1"/>
  <c r="X17" i="12"/>
  <c r="AQ23" i="12"/>
  <c r="AL6" i="13"/>
  <c r="J6" i="13"/>
  <c r="AQ12" i="12"/>
  <c r="P23" i="12"/>
  <c r="AH12" i="13"/>
  <c r="AV11" i="12"/>
  <c r="AW11" i="12" s="1"/>
  <c r="N6" i="13"/>
  <c r="AU6" i="18"/>
  <c r="AI6" i="12"/>
  <c r="AV20" i="9"/>
  <c r="P12" i="13"/>
  <c r="V17" i="13"/>
  <c r="G6" i="14"/>
  <c r="AQ17" i="12"/>
  <c r="AV21" i="9"/>
  <c r="AP6" i="14"/>
  <c r="AQ6" i="14" s="1"/>
  <c r="AU14" i="14"/>
  <c r="AW14" i="14" s="1"/>
  <c r="G12" i="12"/>
  <c r="AE12" i="12"/>
  <c r="AE17" i="12"/>
  <c r="W23" i="12"/>
  <c r="V6" i="13"/>
  <c r="AV14" i="14"/>
  <c r="AU15" i="14"/>
  <c r="J17" i="12"/>
  <c r="AV19" i="12"/>
  <c r="AV23" i="12" s="1"/>
  <c r="Y20" i="12"/>
  <c r="AT14" i="13"/>
  <c r="AT15" i="13"/>
  <c r="AV10" i="14"/>
  <c r="AW10" i="14" s="1"/>
  <c r="X17" i="14"/>
  <c r="Y19" i="14"/>
  <c r="AU20" i="14"/>
  <c r="AW20" i="14" s="1"/>
  <c r="AH23" i="14"/>
  <c r="J12" i="13"/>
  <c r="P23" i="13"/>
  <c r="W17" i="12"/>
  <c r="W6" i="12" s="1"/>
  <c r="G12" i="14"/>
  <c r="Y8" i="12"/>
  <c r="M17" i="12"/>
  <c r="Y21" i="12"/>
  <c r="W23" i="13"/>
  <c r="M17" i="14"/>
  <c r="AU21" i="14"/>
  <c r="AU22" i="14"/>
  <c r="M23" i="14"/>
  <c r="J23" i="12"/>
  <c r="G17" i="13"/>
  <c r="AV21" i="14"/>
  <c r="AW21" i="14" s="1"/>
  <c r="AT6" i="18"/>
  <c r="AW24" i="18"/>
  <c r="AW6" i="17"/>
  <c r="AT6" i="16"/>
  <c r="AT12" i="16"/>
  <c r="AW12" i="16"/>
  <c r="AV6" i="16"/>
  <c r="AW6" i="16" s="1"/>
  <c r="AV6" i="15"/>
  <c r="AW6" i="15" s="1"/>
  <c r="U6" i="14"/>
  <c r="V6" i="14" s="1"/>
  <c r="V17" i="14"/>
  <c r="V12" i="14"/>
  <c r="AV22" i="14"/>
  <c r="AW22" i="14" s="1"/>
  <c r="X23" i="14"/>
  <c r="Y23" i="14" s="1"/>
  <c r="AV8" i="14"/>
  <c r="AV12" i="14" s="1"/>
  <c r="AU23" i="14"/>
  <c r="Y17" i="14"/>
  <c r="AU8" i="14"/>
  <c r="AU12" i="14" s="1"/>
  <c r="AR12" i="14"/>
  <c r="AT8" i="14"/>
  <c r="W12" i="14"/>
  <c r="Y15" i="14"/>
  <c r="AT19" i="14"/>
  <c r="Y9" i="14"/>
  <c r="X12" i="14"/>
  <c r="AT15" i="14"/>
  <c r="Y21" i="14"/>
  <c r="H6" i="14"/>
  <c r="J6" i="14" s="1"/>
  <c r="AF6" i="14"/>
  <c r="AH6" i="14" s="1"/>
  <c r="Y11" i="14"/>
  <c r="AV19" i="14"/>
  <c r="Y14" i="14"/>
  <c r="AV15" i="14"/>
  <c r="AW15" i="14" s="1"/>
  <c r="W17" i="14"/>
  <c r="L6" i="14"/>
  <c r="M6" i="14" s="1"/>
  <c r="AJ6" i="14"/>
  <c r="AK6" i="14" s="1"/>
  <c r="X17" i="13"/>
  <c r="Y17" i="13" s="1"/>
  <c r="R6" i="13"/>
  <c r="S6" i="13" s="1"/>
  <c r="S23" i="13"/>
  <c r="AV11" i="13"/>
  <c r="AW11" i="13" s="1"/>
  <c r="S12" i="13"/>
  <c r="J17" i="13"/>
  <c r="M17" i="13"/>
  <c r="AV14" i="13"/>
  <c r="AW14" i="13" s="1"/>
  <c r="AV9" i="13"/>
  <c r="AW9" i="13" s="1"/>
  <c r="Y8" i="13"/>
  <c r="Y22" i="13"/>
  <c r="AW21" i="13"/>
  <c r="Y20" i="13"/>
  <c r="X23" i="13"/>
  <c r="Y10" i="13"/>
  <c r="X12" i="13"/>
  <c r="AW22" i="13"/>
  <c r="AW10" i="13"/>
  <c r="AT17" i="13"/>
  <c r="AT23" i="13"/>
  <c r="AU8" i="13"/>
  <c r="AU12" i="13" s="1"/>
  <c r="AR12" i="13"/>
  <c r="AR6" i="13" s="1"/>
  <c r="AT19" i="13"/>
  <c r="AE12" i="13"/>
  <c r="O6" i="13"/>
  <c r="P6" i="13" s="1"/>
  <c r="AM6" i="13"/>
  <c r="AU19" i="13"/>
  <c r="AU23" i="13" s="1"/>
  <c r="Y21" i="13"/>
  <c r="F6" i="13"/>
  <c r="W12" i="13"/>
  <c r="AV16" i="13"/>
  <c r="AW16" i="13" s="1"/>
  <c r="AU15" i="13"/>
  <c r="AU17" i="13" s="1"/>
  <c r="AV19" i="13"/>
  <c r="Y15" i="13"/>
  <c r="Y14" i="13"/>
  <c r="AA6" i="13"/>
  <c r="AB6" i="13" s="1"/>
  <c r="AI6" i="13"/>
  <c r="AK6" i="13" s="1"/>
  <c r="AT8" i="13"/>
  <c r="I6" i="12"/>
  <c r="J6" i="12" s="1"/>
  <c r="L6" i="12"/>
  <c r="M6" i="12" s="1"/>
  <c r="AU17" i="12"/>
  <c r="AW16" i="12"/>
  <c r="AT23" i="12"/>
  <c r="AV20" i="12"/>
  <c r="AW20" i="12" s="1"/>
  <c r="F6" i="12"/>
  <c r="G6" i="12" s="1"/>
  <c r="N6" i="12"/>
  <c r="P6" i="12" s="1"/>
  <c r="AD6" i="12"/>
  <c r="AL6" i="12"/>
  <c r="AT19" i="12"/>
  <c r="AJ6" i="12"/>
  <c r="M12" i="12"/>
  <c r="AV14" i="12"/>
  <c r="U6" i="12"/>
  <c r="V6" i="12" s="1"/>
  <c r="Y19" i="12"/>
  <c r="AV10" i="12"/>
  <c r="AW10" i="12" s="1"/>
  <c r="X12" i="12"/>
  <c r="AT15" i="12"/>
  <c r="AU19" i="12"/>
  <c r="AU23" i="12" s="1"/>
  <c r="AV22" i="12"/>
  <c r="AW22" i="12" s="1"/>
  <c r="AT8" i="12"/>
  <c r="X23" i="12"/>
  <c r="AV8" i="12"/>
  <c r="AU15" i="12"/>
  <c r="AS17" i="12"/>
  <c r="AT17" i="12" s="1"/>
  <c r="AG6" i="9"/>
  <c r="AV19" i="9"/>
  <c r="AV14" i="9"/>
  <c r="AT15" i="9"/>
  <c r="AA6" i="9"/>
  <c r="AJ6" i="9"/>
  <c r="AS23" i="9"/>
  <c r="AT20" i="9"/>
  <c r="AD6" i="9"/>
  <c r="AM6" i="9"/>
  <c r="AN17" i="9"/>
  <c r="AV15" i="9"/>
  <c r="AT19" i="9"/>
  <c r="AQ17" i="9"/>
  <c r="AS12" i="9"/>
  <c r="AT14" i="9"/>
  <c r="AV11" i="9"/>
  <c r="AW11" i="9" s="1"/>
  <c r="AS17" i="9"/>
  <c r="AV16" i="9"/>
  <c r="AP6" i="9"/>
  <c r="AE17" i="9"/>
  <c r="M17" i="9"/>
  <c r="AB23" i="9"/>
  <c r="AH12" i="9"/>
  <c r="AQ23" i="9"/>
  <c r="G17" i="9"/>
  <c r="AN23" i="9"/>
  <c r="AB17" i="9"/>
  <c r="AK23" i="9"/>
  <c r="Y14" i="9"/>
  <c r="AE23" i="9"/>
  <c r="AK12" i="9"/>
  <c r="AH17" i="9"/>
  <c r="AN12" i="9"/>
  <c r="AK17" i="9"/>
  <c r="V23" i="9"/>
  <c r="AE12" i="9"/>
  <c r="Y21" i="9"/>
  <c r="Y8" i="9"/>
  <c r="AH23" i="9"/>
  <c r="AB12" i="9"/>
  <c r="AR8" i="9"/>
  <c r="AU8" i="9" s="1"/>
  <c r="AL6" i="9"/>
  <c r="Y20" i="9"/>
  <c r="Y22" i="9"/>
  <c r="P12" i="9"/>
  <c r="Y9" i="9"/>
  <c r="Y10" i="9"/>
  <c r="G23" i="9"/>
  <c r="J17" i="9"/>
  <c r="V17" i="9"/>
  <c r="Y16" i="9"/>
  <c r="P17" i="9"/>
  <c r="S17" i="9"/>
  <c r="M23" i="9"/>
  <c r="Y19" i="9"/>
  <c r="L6" i="9"/>
  <c r="X12" i="9"/>
  <c r="Y15" i="9"/>
  <c r="X23" i="9"/>
  <c r="V12" i="9"/>
  <c r="O6" i="9"/>
  <c r="S12" i="9"/>
  <c r="R6" i="9"/>
  <c r="U6" i="9"/>
  <c r="X17" i="9"/>
  <c r="J23" i="9"/>
  <c r="P23" i="9"/>
  <c r="S23" i="9"/>
  <c r="M12" i="9"/>
  <c r="J12" i="9"/>
  <c r="N6" i="9"/>
  <c r="G12" i="9"/>
  <c r="D25" i="11"/>
  <c r="D15" i="11"/>
  <c r="D19" i="11"/>
  <c r="D21" i="11"/>
  <c r="D23" i="11"/>
  <c r="W12" i="9"/>
  <c r="AU16" i="9"/>
  <c r="W17" i="9"/>
  <c r="AR23" i="9"/>
  <c r="AU22" i="9"/>
  <c r="AW22" i="9" s="1"/>
  <c r="AU21" i="9"/>
  <c r="AW21" i="9" s="1"/>
  <c r="H6" i="9"/>
  <c r="E6" i="9"/>
  <c r="AV10" i="9"/>
  <c r="AU14" i="9"/>
  <c r="G14" i="11"/>
  <c r="F12" i="11"/>
  <c r="F15" i="11" s="1"/>
  <c r="G16" i="11"/>
  <c r="E12" i="11"/>
  <c r="E13" i="11" s="1"/>
  <c r="AV8" i="9"/>
  <c r="AU20" i="9"/>
  <c r="AU19" i="9"/>
  <c r="AU15" i="9"/>
  <c r="AR17" i="9"/>
  <c r="W23" i="9"/>
  <c r="AV9" i="9"/>
  <c r="K6" i="9"/>
  <c r="AU10" i="9"/>
  <c r="AU9" i="9"/>
  <c r="AF6" i="9"/>
  <c r="T6" i="9"/>
  <c r="AO6" i="9"/>
  <c r="I6" i="9"/>
  <c r="Q6" i="9"/>
  <c r="AC6" i="9"/>
  <c r="Z6" i="9"/>
  <c r="AI6" i="9"/>
  <c r="F6" i="9"/>
  <c r="W6" i="14" l="1"/>
  <c r="AN6" i="12"/>
  <c r="G6" i="13"/>
  <c r="AR6" i="14"/>
  <c r="D27" i="11"/>
  <c r="AS6" i="14"/>
  <c r="AQ6" i="13"/>
  <c r="AW19" i="9"/>
  <c r="AE6" i="12"/>
  <c r="W6" i="13"/>
  <c r="AW16" i="14"/>
  <c r="AH6" i="13"/>
  <c r="AV23" i="9"/>
  <c r="AN6" i="13"/>
  <c r="Y12" i="13"/>
  <c r="Y23" i="13"/>
  <c r="AU12" i="12"/>
  <c r="AK6" i="12"/>
  <c r="AU17" i="14"/>
  <c r="AU6" i="14" s="1"/>
  <c r="AW20" i="9"/>
  <c r="E15" i="11"/>
  <c r="AW8" i="9"/>
  <c r="Y23" i="12"/>
  <c r="AR6" i="12"/>
  <c r="AW8" i="13"/>
  <c r="Y17" i="12"/>
  <c r="AW6" i="18"/>
  <c r="AW8" i="14"/>
  <c r="AW12" i="14"/>
  <c r="AV23" i="14"/>
  <c r="AW23" i="14" s="1"/>
  <c r="AW19" i="14"/>
  <c r="AT6" i="14"/>
  <c r="Y12" i="14"/>
  <c r="X6" i="14"/>
  <c r="Y6" i="14" s="1"/>
  <c r="AT12" i="14"/>
  <c r="AV17" i="14"/>
  <c r="AV12" i="13"/>
  <c r="X6" i="13"/>
  <c r="AU6" i="13"/>
  <c r="AW15" i="13"/>
  <c r="AT12" i="13"/>
  <c r="AV23" i="13"/>
  <c r="AW23" i="13" s="1"/>
  <c r="AW19" i="13"/>
  <c r="AV17" i="13"/>
  <c r="AW17" i="13" s="1"/>
  <c r="AW12" i="13"/>
  <c r="AT6" i="13"/>
  <c r="Y12" i="12"/>
  <c r="X6" i="12"/>
  <c r="Y6" i="12" s="1"/>
  <c r="AW23" i="12"/>
  <c r="AW19" i="12"/>
  <c r="AV12" i="12"/>
  <c r="AW8" i="12"/>
  <c r="AU6" i="12"/>
  <c r="AW14" i="12"/>
  <c r="AV17" i="12"/>
  <c r="AW17" i="12" s="1"/>
  <c r="AS6" i="12"/>
  <c r="AW16" i="9"/>
  <c r="AT23" i="9"/>
  <c r="AW14" i="9"/>
  <c r="AW15" i="9"/>
  <c r="AW9" i="9"/>
  <c r="AW10" i="9"/>
  <c r="AV17" i="9"/>
  <c r="AS6" i="9"/>
  <c r="AT17" i="9"/>
  <c r="AT8" i="9"/>
  <c r="V6" i="9"/>
  <c r="AH6" i="9"/>
  <c r="AQ6" i="9"/>
  <c r="AR12" i="9"/>
  <c r="AR6" i="9" s="1"/>
  <c r="AN6" i="9"/>
  <c r="AK6" i="9"/>
  <c r="AB6" i="9"/>
  <c r="AE6" i="9"/>
  <c r="M6" i="9"/>
  <c r="Y12" i="9"/>
  <c r="Y23" i="9"/>
  <c r="X6" i="9"/>
  <c r="Y17" i="9"/>
  <c r="P6" i="9"/>
  <c r="S6" i="9"/>
  <c r="J6" i="9"/>
  <c r="G6" i="9"/>
  <c r="AV12" i="9"/>
  <c r="AU12" i="9"/>
  <c r="AU23" i="9"/>
  <c r="AU17" i="9"/>
  <c r="H16" i="11"/>
  <c r="F23" i="11"/>
  <c r="F25" i="11"/>
  <c r="F21" i="11"/>
  <c r="F19" i="11"/>
  <c r="H14" i="11"/>
  <c r="G12" i="11"/>
  <c r="G13" i="11" s="1"/>
  <c r="E25" i="11"/>
  <c r="E21" i="11"/>
  <c r="E23" i="11"/>
  <c r="E19" i="11"/>
  <c r="F13" i="11"/>
  <c r="W6" i="9"/>
  <c r="AW23" i="9" l="1"/>
  <c r="Y6" i="13"/>
  <c r="AT6" i="12"/>
  <c r="AW17" i="14"/>
  <c r="AV6" i="14"/>
  <c r="AW6" i="14" s="1"/>
  <c r="AV6" i="13"/>
  <c r="AW6" i="13" s="1"/>
  <c r="AW12" i="12"/>
  <c r="AV6" i="12"/>
  <c r="AW6" i="12" s="1"/>
  <c r="Y6" i="9"/>
  <c r="AW17" i="9"/>
  <c r="AV6" i="9"/>
  <c r="AW12" i="9"/>
  <c r="AT12" i="9"/>
  <c r="AT6" i="9"/>
  <c r="AU6" i="9"/>
  <c r="I14" i="11"/>
  <c r="H12" i="11"/>
  <c r="H15" i="11" s="1"/>
  <c r="E27" i="11"/>
  <c r="F27" i="11"/>
  <c r="I16" i="11"/>
  <c r="G25" i="11"/>
  <c r="G21" i="11"/>
  <c r="G23" i="11"/>
  <c r="G19" i="11"/>
  <c r="G15" i="11"/>
  <c r="AW6" i="9" l="1"/>
  <c r="H25" i="11"/>
  <c r="H21" i="11"/>
  <c r="H19" i="11"/>
  <c r="H23" i="11"/>
  <c r="H13" i="11"/>
  <c r="J16" i="11"/>
  <c r="G27" i="11"/>
  <c r="J14" i="11"/>
  <c r="I12" i="11"/>
  <c r="I15" i="11" s="1"/>
  <c r="I25" i="11" l="1"/>
  <c r="I19" i="11"/>
  <c r="I23" i="11"/>
  <c r="I21" i="11"/>
  <c r="K16" i="11"/>
  <c r="H27" i="11"/>
  <c r="I13" i="11"/>
  <c r="K14" i="11"/>
  <c r="J12" i="11"/>
  <c r="J15" i="11" s="1"/>
  <c r="J25" i="11" l="1"/>
  <c r="J23" i="11"/>
  <c r="J21" i="11"/>
  <c r="J19" i="11"/>
  <c r="I27" i="11"/>
  <c r="K12" i="11"/>
  <c r="K13" i="11" s="1"/>
  <c r="J13" i="11"/>
  <c r="K25" i="11" l="1"/>
  <c r="K23" i="11"/>
  <c r="K21" i="11"/>
  <c r="K19" i="11"/>
  <c r="J27" i="11"/>
  <c r="K15" i="11"/>
  <c r="K27" i="11"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tc={8601C4C8-89CE-4537-AD83-C971CF28A396}</author>
    <author>tc={BB9328BF-79B5-4222-A025-3C9836695665}</author>
    <author>tc={F0B3BB08-6B0A-46E4-BCC7-8169BDE81C9A}</author>
    <author>tc={5602F820-4681-4406-9AB7-1CFDA4EA7500}</author>
    <author>tc={50F37C17-25B8-43A9-9EF4-353FECB55D74}</author>
    <author>tc={06F79DDD-B244-4E6F-B589-A9FC42CD045B}</author>
    <author>tc={3B14384F-69F8-4D73-8533-E938C7968996}</author>
    <author>tc={D88E71F6-C597-41BA-92D2-50A320544CD6}</author>
  </authors>
  <commentList>
    <comment ref="F8" authorId="0" shapeId="0" xr:uid="{8601C4C8-89CE-4537-AD83-C971CF28A396}">
      <text>
        <r>
          <rPr>
            <sz val="11"/>
            <color theme="1"/>
            <rFont val="Calibri"/>
            <family val="2"/>
            <charset val="128"/>
            <scheme val="minor"/>
          </rPr>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ワンアンドオンリー（高度人材・１名）</t>
        </r>
      </text>
    </comment>
    <comment ref="L8" authorId="1" shapeId="0" xr:uid="{BB9328BF-79B5-4222-A025-3C9836695665}">
      <text>
        <r>
          <rPr>
            <sz val="11"/>
            <color theme="1"/>
            <rFont val="Calibri"/>
            <family val="2"/>
            <charset val="128"/>
            <scheme val="minor"/>
          </rPr>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ワンアンドオンリー（１名）</t>
        </r>
      </text>
    </comment>
    <comment ref="R8" authorId="2" shapeId="0" xr:uid="{F0B3BB08-6B0A-46E4-BCC7-8169BDE81C9A}">
      <text>
        <r>
          <rPr>
            <sz val="11"/>
            <color theme="1"/>
            <rFont val="Calibri"/>
            <family val="2"/>
            <charset val="128"/>
            <scheme val="minor"/>
          </rPr>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北海プロテック</t>
        </r>
      </text>
    </comment>
    <comment ref="AA8" authorId="3" shapeId="0" xr:uid="{5602F820-4681-4406-9AB7-1CFDA4EA7500}">
      <text>
        <r>
          <rPr>
            <sz val="11"/>
            <color theme="1"/>
            <rFont val="Calibri"/>
            <family val="2"/>
            <charset val="128"/>
            <scheme val="minor"/>
          </rPr>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ワンオンリー1名</t>
        </r>
      </text>
    </comment>
    <comment ref="AD8" authorId="4" shapeId="0" xr:uid="{50F37C17-25B8-43A9-9EF4-353FECB55D74}">
      <text>
        <r>
          <rPr>
            <sz val="11"/>
            <color theme="1"/>
            <rFont val="Calibri"/>
            <family val="2"/>
            <charset val="128"/>
            <scheme val="minor"/>
          </rPr>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株式会社スタッフ満足</t>
        </r>
      </text>
    </comment>
    <comment ref="I9" authorId="5" shapeId="0" xr:uid="{06F79DDD-B244-4E6F-B589-A9FC42CD045B}">
      <text>
        <r>
          <rPr>
            <sz val="11"/>
            <color theme="1"/>
            <rFont val="Calibri"/>
            <family val="2"/>
            <charset val="128"/>
            <scheme val="minor"/>
          </rPr>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イブレス（１名特定技能）</t>
        </r>
      </text>
    </comment>
    <comment ref="L11" authorId="6" shapeId="0" xr:uid="{3B14384F-69F8-4D73-8533-E938C7968996}">
      <text>
        <r>
          <rPr>
            <sz val="11"/>
            <color theme="1"/>
            <rFont val="Calibri"/>
            <family val="2"/>
            <charset val="128"/>
            <scheme val="minor"/>
          </rPr>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イブレス１名、　OBIKE３名</t>
        </r>
      </text>
    </comment>
    <comment ref="AD11" authorId="7" shapeId="0" xr:uid="{D88E71F6-C597-41BA-92D2-50A320544CD6}">
      <text>
        <r>
          <rPr>
            <sz val="11"/>
            <color theme="1"/>
            <rFont val="Calibri"/>
            <family val="2"/>
            <charset val="128"/>
            <scheme val="minor"/>
          </rPr>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①オービーケー3名特定技能性支援（4.5万円）
②イヴレス1名特定技能性支援（2万円）
③イヴレス1名在留資格申請支援業務費用（8万円）</t>
        </r>
      </text>
    </comment>
    <comment ref="F13" authorId="0" shapeId="0" xr:uid="{E1339260-98F5-4B42-89F9-E50C5A5A5010}">
      <text>
        <r>
          <rPr>
            <sz val="11"/>
            <color theme="1"/>
            <rFont val="Calibri"/>
            <family val="2"/>
            <charset val="128"/>
            <scheme val="minor"/>
          </rPr>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ワンアンドオンリー（高度人材・１名）</t>
        </r>
      </text>
    </comment>
    <comment ref="L13" authorId="1" shapeId="0" xr:uid="{3679CD28-2BA8-454E-831A-2F25A86DD6FC}">
      <text>
        <r>
          <rPr>
            <sz val="11"/>
            <color theme="1"/>
            <rFont val="Calibri"/>
            <family val="2"/>
            <charset val="128"/>
            <scheme val="minor"/>
          </rPr>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ワンアンドオンリー（１名）</t>
        </r>
      </text>
    </comment>
    <comment ref="R13" authorId="2" shapeId="0" xr:uid="{F33F88E7-8193-4A32-AEBA-99159D616AE9}">
      <text>
        <r>
          <rPr>
            <sz val="11"/>
            <color theme="1"/>
            <rFont val="Calibri"/>
            <family val="2"/>
            <charset val="128"/>
            <scheme val="minor"/>
          </rPr>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北海プロテック</t>
        </r>
      </text>
    </comment>
    <comment ref="AA13" authorId="3" shapeId="0" xr:uid="{9000CC5B-16A9-46FB-A9CE-8860ACC14061}">
      <text>
        <r>
          <rPr>
            <sz val="11"/>
            <color theme="1"/>
            <rFont val="Calibri"/>
            <family val="2"/>
            <charset val="128"/>
            <scheme val="minor"/>
          </rPr>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ワンオンリー1名</t>
        </r>
      </text>
    </comment>
    <comment ref="AD13" authorId="4" shapeId="0" xr:uid="{858A8DC5-72EE-4DE0-A96F-18EE065A13C7}">
      <text>
        <r>
          <rPr>
            <sz val="11"/>
            <color theme="1"/>
            <rFont val="Calibri"/>
            <family val="2"/>
            <charset val="128"/>
            <scheme val="minor"/>
          </rPr>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株式会社スタッフ満足</t>
        </r>
      </text>
    </comment>
    <comment ref="AE13" authorId="0" shapeId="0" xr:uid="{9FFED004-EDCD-427D-A595-BDDFD39D0390}">
      <text>
        <r>
          <rPr>
            <sz val="11"/>
            <color theme="1"/>
            <rFont val="Calibri"/>
            <family val="2"/>
            <charset val="128"/>
            <scheme val="minor"/>
          </rPr>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ワンアンドオンリー（高度人材・１名）</t>
        </r>
      </text>
    </comment>
    <comment ref="I14" authorId="5" shapeId="0" xr:uid="{831844DF-376B-4F24-98CC-E839AFA39C70}">
      <text>
        <r>
          <rPr>
            <sz val="11"/>
            <color theme="1"/>
            <rFont val="Calibri"/>
            <family val="2"/>
            <charset val="128"/>
            <scheme val="minor"/>
          </rPr>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イブレス（１名特定技能）</t>
        </r>
      </text>
    </comment>
    <comment ref="L16" authorId="6" shapeId="0" xr:uid="{668AA48A-15D9-46DB-827E-B506DA2423C0}">
      <text>
        <r>
          <rPr>
            <sz val="11"/>
            <color theme="1"/>
            <rFont val="Calibri"/>
            <family val="2"/>
            <charset val="128"/>
            <scheme val="minor"/>
          </rPr>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イブレス１名、　OBIKE３名</t>
        </r>
      </text>
    </comment>
    <comment ref="AD16" authorId="7" shapeId="0" xr:uid="{25B61077-E683-4EF0-9AD5-4A78D71804DD}">
      <text>
        <r>
          <rPr>
            <sz val="11"/>
            <color theme="1"/>
            <rFont val="Calibri"/>
            <family val="2"/>
            <charset val="128"/>
            <scheme val="minor"/>
          </rPr>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①オービーケー3名特定技能性支援（4.5万円）
②イヴレス1名特定技能性支援（2万円）
③イヴレス1名在留資格申請支援業務費用（8万円）</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tc={138FE3E3-B100-4516-BFD7-52A3AB746072}</author>
    <author>tc={F796440E-6025-4020-8032-DAECBDF01F47}</author>
    <author>tc={96B14622-5DDC-4DF2-9F3A-9E6A6EF06C8F}</author>
    <author>tc={BD7AB5AC-528F-4BF6-A84D-AB9E4F408567}</author>
    <author>tc={92D00D43-2DA4-49C6-AF4A-0D0905CBCB35}</author>
    <author>tc={8E849E8A-ADB4-4D42-83DE-AD614737E2A4}</author>
  </authors>
  <commentList>
    <comment ref="F8" authorId="0" shapeId="0" xr:uid="{138FE3E3-B100-4516-BFD7-52A3AB746072}">
      <text>
        <r>
          <rPr>
            <sz val="11"/>
            <color theme="1"/>
            <rFont val="Calibri"/>
            <family val="2"/>
            <charset val="128"/>
            <scheme val="minor"/>
          </rPr>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ワンアンドオンリー（高度人材・１名）</t>
        </r>
      </text>
    </comment>
    <comment ref="L8" authorId="1" shapeId="0" xr:uid="{F796440E-6025-4020-8032-DAECBDF01F47}">
      <text>
        <r>
          <rPr>
            <sz val="11"/>
            <color theme="1"/>
            <rFont val="Calibri"/>
            <family val="2"/>
            <charset val="128"/>
            <scheme val="minor"/>
          </rPr>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ワンアンドオンリー（１名）</t>
        </r>
      </text>
    </comment>
    <comment ref="R8" authorId="2" shapeId="0" xr:uid="{96B14622-5DDC-4DF2-9F3A-9E6A6EF06C8F}">
      <text>
        <r>
          <rPr>
            <sz val="11"/>
            <color theme="1"/>
            <rFont val="Calibri"/>
            <family val="2"/>
            <charset val="128"/>
            <scheme val="minor"/>
          </rPr>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北海プロテック</t>
        </r>
      </text>
    </comment>
    <comment ref="AA8" authorId="3" shapeId="0" xr:uid="{BD7AB5AC-528F-4BF6-A84D-AB9E4F408567}">
      <text>
        <r>
          <rPr>
            <sz val="11"/>
            <color theme="1"/>
            <rFont val="Calibri"/>
            <family val="2"/>
            <charset val="128"/>
            <scheme val="minor"/>
          </rPr>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ワンオンリー1名</t>
        </r>
      </text>
    </comment>
    <comment ref="I9" authorId="4" shapeId="0" xr:uid="{92D00D43-2DA4-49C6-AF4A-0D0905CBCB35}">
      <text>
        <r>
          <rPr>
            <sz val="11"/>
            <color theme="1"/>
            <rFont val="Calibri"/>
            <family val="2"/>
            <charset val="128"/>
            <scheme val="minor"/>
          </rPr>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イブレス（１名特定技能）</t>
        </r>
      </text>
    </comment>
    <comment ref="L11" authorId="5" shapeId="0" xr:uid="{8E849E8A-ADB4-4D42-83DE-AD614737E2A4}">
      <text>
        <r>
          <rPr>
            <sz val="11"/>
            <color theme="1"/>
            <rFont val="Calibri"/>
            <family val="2"/>
            <charset val="128"/>
            <scheme val="minor"/>
          </rPr>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イブレス１名、　OBIKE３名</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tc={D9055E8E-4FFF-4E54-B124-9634A0C0B301}</author>
    <author>tc={9D426484-4F50-4709-9495-57C713D3C43A}</author>
    <author>tc={AD1A664B-005E-496E-86D6-E518B22D9368}</author>
    <author>tc={1E5FAD29-DE70-43ED-80FD-93558A9119AD}</author>
    <author>tc={B091D57D-5F9D-4FED-998C-C7E19D61D3CA}</author>
  </authors>
  <commentList>
    <comment ref="F8" authorId="0" shapeId="0" xr:uid="{D9055E8E-4FFF-4E54-B124-9634A0C0B301}">
      <text>
        <r>
          <rPr>
            <sz val="11"/>
            <color theme="1"/>
            <rFont val="Calibri"/>
            <family val="2"/>
            <charset val="128"/>
            <scheme val="minor"/>
          </rPr>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ワンアンドオンリー（高度人材・１名）</t>
        </r>
      </text>
    </comment>
    <comment ref="L8" authorId="1" shapeId="0" xr:uid="{9D426484-4F50-4709-9495-57C713D3C43A}">
      <text>
        <r>
          <rPr>
            <sz val="11"/>
            <color theme="1"/>
            <rFont val="Calibri"/>
            <family val="2"/>
            <charset val="128"/>
            <scheme val="minor"/>
          </rPr>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ワンアンドオンリー（１名）</t>
        </r>
      </text>
    </comment>
    <comment ref="R8" authorId="2" shapeId="0" xr:uid="{AD1A664B-005E-496E-86D6-E518B22D9368}">
      <text>
        <r>
          <rPr>
            <sz val="11"/>
            <color theme="1"/>
            <rFont val="Calibri"/>
            <family val="2"/>
            <charset val="128"/>
            <scheme val="minor"/>
          </rPr>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北海プロテック</t>
        </r>
      </text>
    </comment>
    <comment ref="I9" authorId="3" shapeId="0" xr:uid="{1E5FAD29-DE70-43ED-80FD-93558A9119AD}">
      <text>
        <r>
          <rPr>
            <sz val="11"/>
            <color theme="1"/>
            <rFont val="Calibri"/>
            <family val="2"/>
            <charset val="128"/>
            <scheme val="minor"/>
          </rPr>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イブレス（１名特定技能）</t>
        </r>
      </text>
    </comment>
    <comment ref="L11" authorId="4" shapeId="0" xr:uid="{B091D57D-5F9D-4FED-998C-C7E19D61D3CA}">
      <text>
        <r>
          <rPr>
            <sz val="11"/>
            <color theme="1"/>
            <rFont val="Calibri"/>
            <family val="2"/>
            <charset val="128"/>
            <scheme val="minor"/>
          </rPr>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イブレス１名、　OBIKE３名</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tc={F83D7227-F6A7-4ED5-B31E-FEA4F2EF1D5E}</author>
    <author>tc={12D8E813-F376-4EF8-B803-9DBD434C82C4}</author>
    <author>tc={4464508A-A9AF-4987-AFC7-277ADE2E2D46}</author>
    <author>tc={027C274F-36CD-4FB7-B9E8-B9E4620C6607}</author>
    <author>tc={EAD0F63D-AD64-45C0-8652-AC712D79FA05}</author>
  </authors>
  <commentList>
    <comment ref="F8" authorId="0" shapeId="0" xr:uid="{F83D7227-F6A7-4ED5-B31E-FEA4F2EF1D5E}">
      <text>
        <r>
          <rPr>
            <sz val="11"/>
            <color theme="1"/>
            <rFont val="Calibri"/>
            <family val="2"/>
            <charset val="128"/>
            <scheme val="minor"/>
          </rPr>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ワンアンドオンリー（高度人材・１名）</t>
        </r>
      </text>
    </comment>
    <comment ref="L8" authorId="1" shapeId="0" xr:uid="{12D8E813-F376-4EF8-B803-9DBD434C82C4}">
      <text>
        <r>
          <rPr>
            <sz val="11"/>
            <color theme="1"/>
            <rFont val="Calibri"/>
            <family val="2"/>
            <charset val="128"/>
            <scheme val="minor"/>
          </rPr>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ワンアンドオンリー（１名）</t>
        </r>
      </text>
    </comment>
    <comment ref="R8" authorId="2" shapeId="0" xr:uid="{4464508A-A9AF-4987-AFC7-277ADE2E2D46}">
      <text>
        <r>
          <rPr>
            <sz val="11"/>
            <color theme="1"/>
            <rFont val="Calibri"/>
            <family val="2"/>
            <charset val="128"/>
            <scheme val="minor"/>
          </rPr>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北海プロテック</t>
        </r>
      </text>
    </comment>
    <comment ref="I9" authorId="3" shapeId="0" xr:uid="{027C274F-36CD-4FB7-B9E8-B9E4620C6607}">
      <text>
        <r>
          <rPr>
            <sz val="11"/>
            <color theme="1"/>
            <rFont val="Calibri"/>
            <family val="2"/>
            <charset val="128"/>
            <scheme val="minor"/>
          </rPr>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イブレス（１名特定技能）</t>
        </r>
      </text>
    </comment>
    <comment ref="L11" authorId="4" shapeId="0" xr:uid="{EAD0F63D-AD64-45C0-8652-AC712D79FA05}">
      <text>
        <r>
          <rPr>
            <sz val="11"/>
            <color theme="1"/>
            <rFont val="Calibri"/>
            <family val="2"/>
            <charset val="128"/>
            <scheme val="minor"/>
          </rPr>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イブレス１名、　OBIKE３名</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tc={6B92B069-DC71-4153-B781-465F9B078A73}</author>
    <author>tc={74BF7A44-18DD-4F1D-9194-67F1B884E908}</author>
    <author>tc={11713EAF-134E-4CF1-8115-85E195082D5E}</author>
    <author>tc={2020759C-275C-43A8-BF2A-187402154A3B}</author>
    <author>tc={090E0B4E-E70B-438F-B158-15694E86A868}</author>
  </authors>
  <commentList>
    <comment ref="F8" authorId="0" shapeId="0" xr:uid="{6B92B069-DC71-4153-B781-465F9B078A73}">
      <text>
        <r>
          <rPr>
            <sz val="11"/>
            <color theme="1"/>
            <rFont val="Calibri"/>
            <family val="2"/>
            <charset val="128"/>
            <scheme val="minor"/>
          </rPr>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ワンアンドオンリー（高度人材・１名）</t>
        </r>
      </text>
    </comment>
    <comment ref="L8" authorId="1" shapeId="0" xr:uid="{74BF7A44-18DD-4F1D-9194-67F1B884E908}">
      <text>
        <r>
          <rPr>
            <sz val="11"/>
            <color theme="1"/>
            <rFont val="Calibri"/>
            <family val="2"/>
            <charset val="128"/>
            <scheme val="minor"/>
          </rPr>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ワンアンドオンリー（１名）</t>
        </r>
      </text>
    </comment>
    <comment ref="R8" authorId="2" shapeId="0" xr:uid="{11713EAF-134E-4CF1-8115-85E195082D5E}">
      <text>
        <r>
          <rPr>
            <sz val="11"/>
            <color theme="1"/>
            <rFont val="Calibri"/>
            <family val="2"/>
            <charset val="128"/>
            <scheme val="minor"/>
          </rPr>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北海プロテック</t>
        </r>
      </text>
    </comment>
    <comment ref="I9" authorId="3" shapeId="0" xr:uid="{2020759C-275C-43A8-BF2A-187402154A3B}">
      <text>
        <r>
          <rPr>
            <sz val="11"/>
            <color theme="1"/>
            <rFont val="Calibri"/>
            <family val="2"/>
            <charset val="128"/>
            <scheme val="minor"/>
          </rPr>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イブレス（１名特定技能）</t>
        </r>
      </text>
    </comment>
    <comment ref="L11" authorId="4" shapeId="0" xr:uid="{090E0B4E-E70B-438F-B158-15694E86A868}">
      <text>
        <r>
          <rPr>
            <sz val="11"/>
            <color theme="1"/>
            <rFont val="Calibri"/>
            <family val="2"/>
            <charset val="128"/>
            <scheme val="minor"/>
          </rPr>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イブレス１名、　OBIKE３名</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tc={78E89B90-95B1-441F-AFA8-42661ADB5F80}</author>
    <author>tc={841AA8B4-9621-4EB4-92BF-E668B142B801}</author>
    <author>tc={477E6DEE-D974-4AF0-B75F-F10B63691DAE}</author>
    <author>tc={A3233A16-6FC1-4744-BE50-88EC8168B064}</author>
    <author>tc={791FF8FA-9DAE-4014-8CE4-D1EEDACFA920}</author>
  </authors>
  <commentList>
    <comment ref="F8" authorId="0" shapeId="0" xr:uid="{78E89B90-95B1-441F-AFA8-42661ADB5F80}">
      <text>
        <r>
          <rPr>
            <sz val="11"/>
            <color theme="1"/>
            <rFont val="Calibri"/>
            <family val="2"/>
            <charset val="128"/>
            <scheme val="minor"/>
          </rPr>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ワンアンドオンリー（高度人材・１名）</t>
        </r>
      </text>
    </comment>
    <comment ref="L8" authorId="1" shapeId="0" xr:uid="{841AA8B4-9621-4EB4-92BF-E668B142B801}">
      <text>
        <r>
          <rPr>
            <sz val="11"/>
            <color theme="1"/>
            <rFont val="Calibri"/>
            <family val="2"/>
            <charset val="128"/>
            <scheme val="minor"/>
          </rPr>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ワンアンドオンリー（１名）</t>
        </r>
      </text>
    </comment>
    <comment ref="R8" authorId="2" shapeId="0" xr:uid="{477E6DEE-D974-4AF0-B75F-F10B63691DAE}">
      <text>
        <r>
          <rPr>
            <sz val="11"/>
            <color theme="1"/>
            <rFont val="Calibri"/>
            <family val="2"/>
            <charset val="128"/>
            <scheme val="minor"/>
          </rPr>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北海プロテック</t>
        </r>
      </text>
    </comment>
    <comment ref="I9" authorId="3" shapeId="0" xr:uid="{A3233A16-6FC1-4744-BE50-88EC8168B064}">
      <text>
        <r>
          <rPr>
            <sz val="11"/>
            <color theme="1"/>
            <rFont val="Calibri"/>
            <family val="2"/>
            <charset val="128"/>
            <scheme val="minor"/>
          </rPr>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イブレス（１名特定技能）</t>
        </r>
      </text>
    </comment>
    <comment ref="L11" authorId="4" shapeId="0" xr:uid="{791FF8FA-9DAE-4014-8CE4-D1EEDACFA920}">
      <text>
        <r>
          <rPr>
            <sz val="11"/>
            <color theme="1"/>
            <rFont val="Calibri"/>
            <family val="2"/>
            <charset val="128"/>
            <scheme val="minor"/>
          </rPr>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イブレス１名、　OBIKE３名</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tc={E579FA4B-B048-4C9A-9442-AC5C25E93057}</author>
    <author>tc={0C513059-B346-4475-A57E-6599968CACBB}</author>
    <author>tc={7F59AD61-EC0F-49C0-8B86-9C1C5C441C8B}</author>
    <author>tc={68AFD81B-5BD4-4C0D-A3E0-63F6351C3E8B}</author>
  </authors>
  <commentList>
    <comment ref="F8" authorId="0" shapeId="0" xr:uid="{E579FA4B-B048-4C9A-9442-AC5C25E93057}">
      <text>
        <r>
          <rPr>
            <sz val="11"/>
            <color theme="1"/>
            <rFont val="Calibri"/>
            <family val="2"/>
            <charset val="128"/>
            <scheme val="minor"/>
          </rPr>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ワンアンドオンリー（高度人材・１名）</t>
        </r>
      </text>
    </comment>
    <comment ref="L8" authorId="1" shapeId="0" xr:uid="{0C513059-B346-4475-A57E-6599968CACBB}">
      <text>
        <r>
          <rPr>
            <sz val="11"/>
            <color theme="1"/>
            <rFont val="Calibri"/>
            <family val="2"/>
            <charset val="128"/>
            <scheme val="minor"/>
          </rPr>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ワンアンドオンリー（１名）</t>
        </r>
      </text>
    </comment>
    <comment ref="I9" authorId="2" shapeId="0" xr:uid="{7F59AD61-EC0F-49C0-8B86-9C1C5C441C8B}">
      <text>
        <r>
          <rPr>
            <sz val="11"/>
            <color theme="1"/>
            <rFont val="Calibri"/>
            <family val="2"/>
            <charset val="128"/>
            <scheme val="minor"/>
          </rPr>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イブレス（１名特定技能）</t>
        </r>
      </text>
    </comment>
    <comment ref="L11" authorId="3" shapeId="0" xr:uid="{68AFD81B-5BD4-4C0D-A3E0-63F6351C3E8B}">
      <text>
        <r>
          <rPr>
            <sz val="11"/>
            <color theme="1"/>
            <rFont val="Calibri"/>
            <family val="2"/>
            <charset val="128"/>
            <scheme val="minor"/>
          </rPr>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イブレス１名、　OBIKE３名</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tc={6A004758-0628-4713-9274-06C4077C35D2}</author>
    <author>tc={ABA3D666-AC1B-4186-9706-20DD25980C30}</author>
    <author>tc={0B1C78FC-C2D6-4318-A79F-C14F6F2B92D5}</author>
    <author>tc={89C03AF4-8C3B-470D-81D9-96B4D71F6B73}</author>
  </authors>
  <commentList>
    <comment ref="F8" authorId="0" shapeId="0" xr:uid="{6A004758-0628-4713-9274-06C4077C35D2}">
      <text>
        <r>
          <rPr>
            <sz val="11"/>
            <color theme="1"/>
            <rFont val="Calibri"/>
            <family val="2"/>
            <charset val="128"/>
            <scheme val="minor"/>
          </rPr>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ワンアンドオンリー（１名）</t>
        </r>
      </text>
    </comment>
    <comment ref="L8" authorId="1" shapeId="0" xr:uid="{ABA3D666-AC1B-4186-9706-20DD25980C30}">
      <text>
        <r>
          <rPr>
            <sz val="11"/>
            <color theme="1"/>
            <rFont val="Calibri"/>
            <family val="2"/>
            <charset val="128"/>
            <scheme val="minor"/>
          </rPr>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ワンアンドオンリー（１名）</t>
        </r>
      </text>
    </comment>
    <comment ref="I9" authorId="2" shapeId="0" xr:uid="{0B1C78FC-C2D6-4318-A79F-C14F6F2B92D5}">
      <text>
        <r>
          <rPr>
            <sz val="11"/>
            <color theme="1"/>
            <rFont val="Calibri"/>
            <family val="2"/>
            <charset val="128"/>
            <scheme val="minor"/>
          </rPr>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イブレス（１特定技能）</t>
        </r>
      </text>
    </comment>
    <comment ref="L11" authorId="3" shapeId="0" xr:uid="{89C03AF4-8C3B-470D-81D9-96B4D71F6B73}">
      <text>
        <r>
          <rPr>
            <sz val="11"/>
            <color theme="1"/>
            <rFont val="Calibri"/>
            <family val="2"/>
            <charset val="128"/>
            <scheme val="minor"/>
          </rPr>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イブレス１名、　OBIKE３名</t>
        </r>
      </text>
    </comment>
  </commentList>
</comments>
</file>

<file path=xl/sharedStrings.xml><?xml version="1.0" encoding="utf-8"?>
<sst xmlns="http://schemas.openxmlformats.org/spreadsheetml/2006/main" count="1757" uniqueCount="60">
  <si>
    <t>技人国</t>
  </si>
  <si>
    <t>外食</t>
  </si>
  <si>
    <t>アルバイト</t>
  </si>
  <si>
    <t>特定技能</t>
  </si>
  <si>
    <t>実績</t>
  </si>
  <si>
    <t>目標</t>
  </si>
  <si>
    <t>10月</t>
    <phoneticPr fontId="3"/>
  </si>
  <si>
    <t>ビルクリーン</t>
  </si>
  <si>
    <t>試験対策</t>
  </si>
  <si>
    <t>9月</t>
    <phoneticPr fontId="3"/>
  </si>
  <si>
    <t>8月</t>
    <phoneticPr fontId="3"/>
  </si>
  <si>
    <t>7月</t>
    <phoneticPr fontId="3"/>
  </si>
  <si>
    <t>6月</t>
    <phoneticPr fontId="3"/>
  </si>
  <si>
    <t>5月</t>
    <phoneticPr fontId="3"/>
  </si>
  <si>
    <t>４月</t>
    <phoneticPr fontId="3"/>
  </si>
  <si>
    <t>小計</t>
    <rPh sb="0" eb="2">
      <t>ショウケイ</t>
    </rPh>
    <phoneticPr fontId="1"/>
  </si>
  <si>
    <t>宿泊</t>
    <phoneticPr fontId="1"/>
  </si>
  <si>
    <t>内部紹介</t>
    <rPh sb="0" eb="4">
      <t>ナイブショウカイ</t>
    </rPh>
    <phoneticPr fontId="1"/>
  </si>
  <si>
    <t>総合計</t>
    <rPh sb="0" eb="3">
      <t>ソウゴウケイ</t>
    </rPh>
    <phoneticPr fontId="1"/>
  </si>
  <si>
    <t>25年3月まで</t>
    <rPh sb="2" eb="3">
      <t>ネン</t>
    </rPh>
    <rPh sb="4" eb="5">
      <t>ガツ</t>
    </rPh>
    <phoneticPr fontId="1"/>
  </si>
  <si>
    <t>26年3月まで</t>
    <rPh sb="2" eb="3">
      <t>ネン</t>
    </rPh>
    <rPh sb="4" eb="5">
      <t>ガツ</t>
    </rPh>
    <phoneticPr fontId="1"/>
  </si>
  <si>
    <t>27年3月まで</t>
    <rPh sb="2" eb="3">
      <t>ネン</t>
    </rPh>
    <rPh sb="4" eb="5">
      <t>ガツ</t>
    </rPh>
    <phoneticPr fontId="1"/>
  </si>
  <si>
    <t>28年3月まで</t>
    <rPh sb="2" eb="3">
      <t>ネン</t>
    </rPh>
    <rPh sb="4" eb="5">
      <t>ガツ</t>
    </rPh>
    <phoneticPr fontId="1"/>
  </si>
  <si>
    <t>29年3月まで</t>
    <rPh sb="2" eb="3">
      <t>ネン</t>
    </rPh>
    <rPh sb="4" eb="5">
      <t>ガツ</t>
    </rPh>
    <phoneticPr fontId="1"/>
  </si>
  <si>
    <t>30年3月まで</t>
    <rPh sb="2" eb="3">
      <t>ネン</t>
    </rPh>
    <rPh sb="4" eb="5">
      <t>ガツ</t>
    </rPh>
    <phoneticPr fontId="1"/>
  </si>
  <si>
    <t>31年3月まで</t>
    <rPh sb="2" eb="3">
      <t>ネン</t>
    </rPh>
    <rPh sb="4" eb="5">
      <t>ガツ</t>
    </rPh>
    <phoneticPr fontId="1"/>
  </si>
  <si>
    <t>年度</t>
    <rPh sb="0" eb="2">
      <t>ネンド</t>
    </rPh>
    <phoneticPr fontId="1"/>
  </si>
  <si>
    <t>(万円）</t>
    <rPh sb="1" eb="2">
      <t>マン</t>
    </rPh>
    <rPh sb="2" eb="3">
      <t>エン</t>
    </rPh>
    <phoneticPr fontId="1"/>
  </si>
  <si>
    <t>清掃事業</t>
    <rPh sb="0" eb="2">
      <t>セイソウ</t>
    </rPh>
    <rPh sb="2" eb="4">
      <t>ジギョウ</t>
    </rPh>
    <phoneticPr fontId="1"/>
  </si>
  <si>
    <t>比率</t>
    <rPh sb="0" eb="2">
      <t>ヒリツ</t>
    </rPh>
    <phoneticPr fontId="1"/>
  </si>
  <si>
    <t>売上</t>
    <rPh sb="0" eb="1">
      <t>ウ</t>
    </rPh>
    <rPh sb="1" eb="2">
      <t>ア</t>
    </rPh>
    <phoneticPr fontId="1"/>
  </si>
  <si>
    <t>定期清掃法令　　修理修繕</t>
    <rPh sb="0" eb="4">
      <t>テイキセイソウ</t>
    </rPh>
    <rPh sb="4" eb="6">
      <t>ホウレイ</t>
    </rPh>
    <rPh sb="8" eb="10">
      <t>シュウリ</t>
    </rPh>
    <rPh sb="10" eb="12">
      <t>シュウゼン</t>
    </rPh>
    <phoneticPr fontId="1"/>
  </si>
  <si>
    <t>売上</t>
    <rPh sb="0" eb="2">
      <t>ウア</t>
    </rPh>
    <phoneticPr fontId="1"/>
  </si>
  <si>
    <t>民泊</t>
    <rPh sb="0" eb="2">
      <t>ミンパク</t>
    </rPh>
    <phoneticPr fontId="1"/>
  </si>
  <si>
    <t>物販／人材紹介／その他</t>
    <rPh sb="0" eb="2">
      <t>ブッパン</t>
    </rPh>
    <rPh sb="3" eb="5">
      <t>ジンザイ</t>
    </rPh>
    <rPh sb="5" eb="7">
      <t>ショウカイ</t>
    </rPh>
    <rPh sb="10" eb="11">
      <t>タ</t>
    </rPh>
    <phoneticPr fontId="1"/>
  </si>
  <si>
    <t>保育事業</t>
    <rPh sb="0" eb="4">
      <t>ホイクジギョウ</t>
    </rPh>
    <phoneticPr fontId="1"/>
  </si>
  <si>
    <t>リネン事業</t>
    <rPh sb="3" eb="5">
      <t>ジギョウ</t>
    </rPh>
    <phoneticPr fontId="1"/>
  </si>
  <si>
    <t>支援人数(1万円／人）</t>
    <rPh sb="0" eb="4">
      <t>シエンニンズ</t>
    </rPh>
    <rPh sb="6" eb="8">
      <t>マンエン</t>
    </rPh>
    <rPh sb="9" eb="10">
      <t>ヒト</t>
    </rPh>
    <phoneticPr fontId="1"/>
  </si>
  <si>
    <t>アルバイト(3万円／人）</t>
    <rPh sb="7" eb="9">
      <t>マンエン</t>
    </rPh>
    <rPh sb="10" eb="11">
      <t>ヒト</t>
    </rPh>
    <phoneticPr fontId="1"/>
  </si>
  <si>
    <t>2025年通期</t>
    <rPh sb="5" eb="7">
      <t>ツウキ</t>
    </rPh>
    <phoneticPr fontId="3"/>
  </si>
  <si>
    <t>技人国　　　　　　　　　　　　　　　　　　　　　N１／３０％　N2／２０％　N3／１５％</t>
    <phoneticPr fontId="1"/>
  </si>
  <si>
    <t>特定技能（一律２0万）✕　〇人</t>
    <rPh sb="5" eb="7">
      <t>イチリツ</t>
    </rPh>
    <rPh sb="9" eb="10">
      <t>マン</t>
    </rPh>
    <rPh sb="14" eb="15">
      <t>ニン</t>
    </rPh>
    <phoneticPr fontId="1"/>
  </si>
  <si>
    <t>支援業務</t>
    <rPh sb="0" eb="2">
      <t>シエン</t>
    </rPh>
    <rPh sb="2" eb="4">
      <t>ギョウム</t>
    </rPh>
    <phoneticPr fontId="1"/>
  </si>
  <si>
    <t xml:space="preserve">上期 </t>
    <rPh sb="0" eb="1">
      <t>ウエ</t>
    </rPh>
    <phoneticPr fontId="3"/>
  </si>
  <si>
    <t>下期</t>
    <rPh sb="0" eb="2">
      <t>シモキ</t>
    </rPh>
    <phoneticPr fontId="3"/>
  </si>
  <si>
    <t>総合計</t>
    <rPh sb="0" eb="3">
      <t>ソウゴウケイ</t>
    </rPh>
    <phoneticPr fontId="3"/>
  </si>
  <si>
    <t>単位(千円）</t>
    <phoneticPr fontId="1"/>
  </si>
  <si>
    <t>目標</t>
    <phoneticPr fontId="1"/>
  </si>
  <si>
    <t>実績</t>
    <phoneticPr fontId="1"/>
  </si>
  <si>
    <t>達成率</t>
    <rPh sb="0" eb="3">
      <t>タッセイリツ</t>
    </rPh>
    <phoneticPr fontId="1"/>
  </si>
  <si>
    <t>11月</t>
    <phoneticPr fontId="3"/>
  </si>
  <si>
    <t>12月</t>
    <phoneticPr fontId="3"/>
  </si>
  <si>
    <t>1月</t>
    <phoneticPr fontId="3"/>
  </si>
  <si>
    <t>2月</t>
    <phoneticPr fontId="3"/>
  </si>
  <si>
    <t>3月</t>
    <phoneticPr fontId="3"/>
  </si>
  <si>
    <t>外部紹介</t>
    <rPh sb="0" eb="2">
      <t>ガイブ</t>
    </rPh>
    <rPh sb="2" eb="4">
      <t>ショウカイ</t>
    </rPh>
    <phoneticPr fontId="1"/>
  </si>
  <si>
    <t>達成率</t>
    <phoneticPr fontId="1"/>
  </si>
  <si>
    <t>紹介状況・目標</t>
    <phoneticPr fontId="1"/>
  </si>
  <si>
    <t>外部小計</t>
  </si>
  <si>
    <t>紹介状況・目標</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</si>
</sst>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24">
    <font>
      <sz val="11"/>
      <color theme="1"/>
      <name val="Calibri"/>
      <family val="2"/>
      <charset val="128"/>
      <scheme val="minor"/>
    </font>
    <font>
      <sz val="6"/>
      <name val="Calibri"/>
      <family val="2"/>
      <charset val="128"/>
      <scheme val="minor"/>
    </font>
    <font>
      <sz val="11"/>
      <color theme="1"/>
      <name val="Calibri"/>
      <family val="3"/>
      <charset val="128"/>
      <scheme val="minor"/>
    </font>
    <font>
      <sz val="6"/>
      <name val="Calibri"/>
      <family val="3"/>
      <charset val="128"/>
      <scheme val="minor"/>
    </font>
    <font>
      <sz val="8"/>
      <color theme="1"/>
      <name val="Calibri"/>
      <family val="3"/>
      <charset val="128"/>
      <scheme val="minor"/>
    </font>
    <font>
      <b/>
      <sz val="11"/>
      <color theme="1"/>
      <name val="Calibri"/>
      <family val="3"/>
      <charset val="128"/>
      <scheme val="minor"/>
    </font>
    <font>
      <sz val="11"/>
      <color theme="1"/>
      <name val="Calibri"/>
      <family val="2"/>
      <charset val="128"/>
      <scheme val="minor"/>
    </font>
    <font>
      <b/>
      <sz val="12"/>
      <color theme="1"/>
      <name val="メイリオ"/>
      <family val="3"/>
      <charset val="128"/>
    </font>
    <font>
      <sz val="14"/>
      <color theme="1"/>
      <name val="メイリオ"/>
      <family val="3"/>
      <charset val="128"/>
    </font>
    <font>
      <sz val="12"/>
      <color theme="1"/>
      <name val="メイリオ"/>
      <family val="3"/>
      <charset val="128"/>
    </font>
    <font>
      <sz val="11"/>
      <color theme="1"/>
      <name val="メイリオ"/>
      <family val="3"/>
      <charset val="128"/>
    </font>
    <font>
      <sz val="24"/>
      <color theme="1"/>
      <name val="メイリオ"/>
      <family val="3"/>
      <charset val="128"/>
    </font>
    <font>
      <b/>
      <sz val="24"/>
      <color theme="1"/>
      <name val="メイリオ"/>
      <family val="3"/>
      <charset val="128"/>
    </font>
    <font>
      <sz val="24"/>
      <color theme="0"/>
      <name val="メイリオ"/>
      <family val="3"/>
      <charset val="128"/>
    </font>
    <font>
      <sz val="18"/>
      <color theme="1"/>
      <name val="メイリオ"/>
      <family val="3"/>
      <charset val="128"/>
    </font>
    <font>
      <sz val="20"/>
      <color theme="1"/>
      <name val="メイリオ"/>
      <family val="3"/>
      <charset val="128"/>
    </font>
    <font>
      <b/>
      <sz val="20"/>
      <color theme="1"/>
      <name val="メイリオ"/>
      <family val="3"/>
      <charset val="128"/>
    </font>
    <font>
      <sz val="22"/>
      <color theme="1"/>
      <name val="メイリオ"/>
      <family val="3"/>
      <charset val="128"/>
    </font>
    <font>
      <b/>
      <sz val="22"/>
      <color theme="1"/>
      <name val="メイリオ"/>
      <family val="3"/>
      <charset val="128"/>
    </font>
    <font>
      <sz val="26"/>
      <color theme="1"/>
      <name val="メイリオ"/>
      <family val="3"/>
      <charset val="128"/>
    </font>
    <font>
      <b/>
      <sz val="11"/>
      <color theme="1"/>
      <name val="Calibri"/>
      <family val="2"/>
      <charset val="128"/>
      <scheme val="minor"/>
    </font>
    <font>
      <b/>
      <sz val="26"/>
      <color theme="1"/>
      <name val="メイリオ"/>
      <family val="3"/>
      <charset val="128"/>
    </font>
    <font>
      <b/>
      <sz val="24"/>
      <name val="メイリオ"/>
      <family val="3"/>
      <charset val="128"/>
    </font>
    <font>
      <sz val="16"/>
      <color theme="1"/>
      <name val="メイリオ"/>
      <family val="3"/>
      <charset val="128"/>
    </font>
  </fonts>
  <fills count="14">
    <fill>
      <patternFill patternType="none"/>
    </fill>
    <fill>
      <patternFill patternType="gray125"/>
    </fill>
    <fill>
      <patternFill patternType="solid">
        <fgColor theme="5" tint="0.79998168889431442"/>
        <bgColor indexed="64"/>
      </patternFill>
    </fill>
    <fill>
      <patternFill patternType="solid">
        <fgColor rgb="FFFFFF00"/>
        <bgColor indexed="64"/>
      </patternFill>
    </fill>
    <fill>
      <patternFill patternType="solid">
        <fgColor theme="7" tint="0.39997558519241921"/>
        <bgColor indexed="64"/>
      </patternFill>
    </fill>
    <fill>
      <patternFill patternType="solid">
        <fgColor theme="8" tint="0.79998168889431442"/>
        <bgColor indexed="64"/>
      </patternFill>
    </fill>
    <fill>
      <patternFill patternType="solid">
        <fgColor theme="7" tint="0.79998168889431442"/>
        <bgColor indexed="64"/>
      </patternFill>
    </fill>
    <fill>
      <patternFill patternType="solid">
        <fgColor theme="8"/>
        <bgColor indexed="64"/>
      </patternFill>
    </fill>
    <fill>
      <patternFill patternType="solid">
        <fgColor theme="6" tint="0.39997558519241921"/>
        <bgColor indexed="64"/>
      </patternFill>
    </fill>
    <fill>
      <patternFill patternType="solid">
        <fgColor theme="9" tint="0.59999389629810485"/>
        <bgColor indexed="64"/>
      </patternFill>
    </fill>
    <fill>
      <patternFill patternType="solid">
        <fgColor theme="0"/>
        <bgColor indexed="64"/>
      </patternFill>
    </fill>
    <fill>
      <patternFill patternType="solid">
        <fgColor theme="9" tint="0.79998168889431442"/>
        <bgColor indexed="64"/>
      </patternFill>
    </fill>
    <fill>
      <patternFill patternType="solid">
        <fgColor theme="7" tint="0.59999389629810485"/>
        <bgColor indexed="64"/>
      </patternFill>
    </fill>
    <fill>
      <patternFill patternType="solid">
        <fgColor theme="3" tint="0.79998168889431442"/>
        <bgColor indexed="64"/>
      </patternFill>
    </fill>
  </fills>
  <borders count="74">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style="thin">
        <color auto="1"/>
      </left>
      <right style="thin">
        <color auto="1"/>
      </right>
      <top/>
      <bottom style="thin">
        <color auto="1"/>
      </bottom>
      <diagonal/>
    </border>
    <border>
      <left style="hair">
        <color auto="1"/>
      </left>
      <right style="hair">
        <color auto="1"/>
      </right>
      <top style="thin">
        <color auto="1"/>
      </top>
      <bottom style="thin">
        <color auto="1"/>
      </bottom>
      <diagonal/>
    </border>
    <border>
      <left style="thin">
        <color auto="1"/>
      </left>
      <right style="hair">
        <color auto="1"/>
      </right>
      <top style="thin">
        <color auto="1"/>
      </top>
      <bottom style="thin">
        <color auto="1"/>
      </bottom>
      <diagonal/>
    </border>
    <border>
      <left style="thin">
        <color auto="1"/>
      </left>
      <right style="thin">
        <color auto="1"/>
      </right>
      <top/>
      <bottom/>
      <diagonal/>
    </border>
    <border>
      <left style="hair">
        <color auto="1"/>
      </left>
      <right style="hair">
        <color auto="1"/>
      </right>
      <top style="hair">
        <color auto="1"/>
      </top>
      <bottom style="hair">
        <color auto="1"/>
      </bottom>
      <diagonal/>
    </border>
    <border>
      <left style="thin">
        <color auto="1"/>
      </left>
      <right style="hair">
        <color auto="1"/>
      </right>
      <top style="hair">
        <color auto="1"/>
      </top>
      <bottom style="hair">
        <color auto="1"/>
      </bottom>
      <diagonal/>
    </border>
    <border>
      <left style="hair">
        <color auto="1"/>
      </left>
      <right style="hair">
        <color auto="1"/>
      </right>
      <top style="thin">
        <color auto="1"/>
      </top>
      <bottom style="hair">
        <color auto="1"/>
      </bottom>
      <diagonal/>
    </border>
    <border>
      <left style="thin">
        <color auto="1"/>
      </left>
      <right style="hair">
        <color auto="1"/>
      </right>
      <top style="thin">
        <color auto="1"/>
      </top>
      <bottom style="hair">
        <color auto="1"/>
      </bottom>
      <diagonal/>
    </border>
    <border>
      <left style="thin">
        <color auto="1"/>
      </left>
      <right style="thin">
        <color auto="1"/>
      </right>
      <top style="thin">
        <color auto="1"/>
      </top>
      <bottom/>
      <diagonal/>
    </border>
    <border>
      <left style="hair">
        <color auto="1"/>
      </left>
      <right style="thin">
        <color auto="1"/>
      </right>
      <top style="hair">
        <color auto="1"/>
      </top>
      <bottom style="thin">
        <color auto="1"/>
      </bottom>
      <diagonal/>
    </border>
    <border>
      <left style="hair">
        <color auto="1"/>
      </left>
      <right style="hair">
        <color auto="1"/>
      </right>
      <top style="hair">
        <color auto="1"/>
      </top>
      <bottom style="thin">
        <color auto="1"/>
      </bottom>
      <diagonal/>
    </border>
    <border>
      <left style="thin">
        <color auto="1"/>
      </left>
      <right style="hair">
        <color auto="1"/>
      </right>
      <top style="hair">
        <color auto="1"/>
      </top>
      <bottom style="thin">
        <color auto="1"/>
      </bottom>
      <diagonal/>
    </border>
    <border>
      <left style="hair">
        <color auto="1"/>
      </left>
      <right style="thin">
        <color auto="1"/>
      </right>
      <top style="hair">
        <color auto="1"/>
      </top>
      <bottom style="hair">
        <color auto="1"/>
      </bottom>
      <diagonal/>
    </border>
    <border>
      <left style="hair">
        <color auto="1"/>
      </left>
      <right style="thin">
        <color auto="1"/>
      </right>
      <top style="thin">
        <color auto="1"/>
      </top>
      <bottom style="thin">
        <color auto="1"/>
      </bottom>
      <diagonal/>
    </border>
    <border>
      <left/>
      <right/>
      <top/>
      <bottom style="thin">
        <color auto="1"/>
      </bottom>
      <diagonal/>
    </border>
    <border>
      <left style="thin">
        <color auto="1"/>
      </left>
      <right/>
      <top/>
      <bottom style="thin">
        <color auto="1"/>
      </bottom>
      <diagonal/>
    </border>
    <border>
      <left/>
      <right style="thin">
        <color auto="1"/>
      </right>
      <top/>
      <bottom/>
      <diagonal/>
    </border>
    <border>
      <left style="thin">
        <color auto="1"/>
      </left>
      <right/>
      <top/>
      <bottom/>
      <diagonal/>
    </border>
    <border>
      <left style="thin">
        <color auto="1"/>
      </left>
      <right/>
      <top style="thin">
        <color auto="1"/>
      </top>
      <bottom/>
      <diagonal/>
    </border>
    <border>
      <left style="thick">
        <color auto="1"/>
      </left>
      <right/>
      <top/>
      <bottom/>
      <diagonal/>
    </border>
    <border>
      <left style="thick">
        <color auto="1"/>
      </left>
      <right style="thin">
        <color indexed="64"/>
      </right>
      <top style="thin">
        <color indexed="64"/>
      </top>
      <bottom style="thin">
        <color indexed="64"/>
      </bottom>
      <diagonal/>
    </border>
    <border>
      <left style="thick">
        <color auto="1"/>
      </left>
      <right style="thin">
        <color indexed="64"/>
      </right>
      <top style="thin">
        <color indexed="64"/>
      </top>
      <bottom/>
      <diagonal/>
    </border>
    <border>
      <left style="thick">
        <color auto="1"/>
      </left>
      <right style="thin">
        <color indexed="64"/>
      </right>
      <top/>
      <bottom/>
      <diagonal/>
    </border>
    <border>
      <left style="thick">
        <color auto="1"/>
      </left>
      <right style="thin">
        <color indexed="64"/>
      </right>
      <top/>
      <bottom style="thin">
        <color indexed="64"/>
      </bottom>
      <diagonal/>
    </border>
    <border>
      <left style="thick">
        <color auto="1"/>
      </left>
      <right/>
      <top style="thin">
        <color indexed="64"/>
      </top>
      <bottom style="thin">
        <color indexed="64"/>
      </bottom>
      <diagonal/>
    </border>
    <border>
      <left style="hair">
        <color auto="1"/>
      </left>
      <right style="hair">
        <color auto="1"/>
      </right>
      <top style="hair">
        <color auto="1"/>
      </top>
      <bottom/>
      <diagonal/>
    </border>
    <border>
      <left style="hair">
        <color auto="1"/>
      </left>
      <right/>
      <top style="thin">
        <color auto="1"/>
      </top>
      <bottom style="thin">
        <color auto="1"/>
      </bottom>
      <diagonal/>
    </border>
    <border>
      <left style="hair">
        <color auto="1"/>
      </left>
      <right/>
      <top style="thin">
        <color auto="1"/>
      </top>
      <bottom style="hair">
        <color auto="1"/>
      </bottom>
      <diagonal/>
    </border>
    <border>
      <left style="hair">
        <color auto="1"/>
      </left>
      <right/>
      <top style="hair">
        <color auto="1"/>
      </top>
      <bottom style="hair">
        <color auto="1"/>
      </bottom>
      <diagonal/>
    </border>
    <border>
      <left style="hair">
        <color auto="1"/>
      </left>
      <right/>
      <top style="hair">
        <color auto="1"/>
      </top>
      <bottom style="thin">
        <color auto="1"/>
      </bottom>
      <diagonal/>
    </border>
    <border>
      <left/>
      <right style="hair">
        <color auto="1"/>
      </right>
      <top style="thin">
        <color auto="1"/>
      </top>
      <bottom style="thin">
        <color auto="1"/>
      </bottom>
      <diagonal/>
    </border>
    <border>
      <left/>
      <right style="hair">
        <color auto="1"/>
      </right>
      <top style="thin">
        <color auto="1"/>
      </top>
      <bottom style="hair">
        <color auto="1"/>
      </bottom>
      <diagonal/>
    </border>
    <border>
      <left/>
      <right style="hair">
        <color auto="1"/>
      </right>
      <top style="hair">
        <color auto="1"/>
      </top>
      <bottom style="hair">
        <color auto="1"/>
      </bottom>
      <diagonal/>
    </border>
    <border>
      <left/>
      <right style="hair">
        <color auto="1"/>
      </right>
      <top style="hair">
        <color auto="1"/>
      </top>
      <bottom/>
      <diagonal/>
    </border>
    <border>
      <left/>
      <right style="hair">
        <color auto="1"/>
      </right>
      <top style="hair">
        <color auto="1"/>
      </top>
      <bottom style="thin">
        <color auto="1"/>
      </bottom>
      <diagonal/>
    </border>
    <border>
      <left style="medium">
        <color indexed="64"/>
      </left>
      <right style="hair">
        <color auto="1"/>
      </right>
      <top style="thin">
        <color auto="1"/>
      </top>
      <bottom style="hair">
        <color auto="1"/>
      </bottom>
      <diagonal/>
    </border>
    <border>
      <left style="hair">
        <color auto="1"/>
      </left>
      <right style="medium">
        <color indexed="64"/>
      </right>
      <top style="thin">
        <color auto="1"/>
      </top>
      <bottom style="hair">
        <color auto="1"/>
      </bottom>
      <diagonal/>
    </border>
    <border>
      <left style="medium">
        <color indexed="64"/>
      </left>
      <right style="hair">
        <color auto="1"/>
      </right>
      <top style="hair">
        <color auto="1"/>
      </top>
      <bottom style="hair">
        <color auto="1"/>
      </bottom>
      <diagonal/>
    </border>
    <border>
      <left style="medium">
        <color indexed="64"/>
      </left>
      <right style="hair">
        <color auto="1"/>
      </right>
      <top style="hair">
        <color auto="1"/>
      </top>
      <bottom/>
      <diagonal/>
    </border>
    <border>
      <left style="medium">
        <color indexed="64"/>
      </left>
      <right style="hair">
        <color auto="1"/>
      </right>
      <top style="hair">
        <color auto="1"/>
      </top>
      <bottom style="thin">
        <color auto="1"/>
      </bottom>
      <diagonal/>
    </border>
    <border>
      <left style="hair">
        <color auto="1"/>
      </left>
      <right style="medium">
        <color indexed="64"/>
      </right>
      <top style="hair">
        <color auto="1"/>
      </top>
      <bottom style="thin">
        <color auto="1"/>
      </bottom>
      <diagonal/>
    </border>
    <border>
      <left/>
      <right/>
      <top style="hair">
        <color auto="1"/>
      </top>
      <bottom/>
      <diagonal/>
    </border>
    <border>
      <left style="thin">
        <color auto="1"/>
      </left>
      <right style="hair">
        <color auto="1"/>
      </right>
      <top style="hair">
        <color auto="1"/>
      </top>
      <bottom/>
      <diagonal/>
    </border>
    <border>
      <left style="hair">
        <color auto="1"/>
      </left>
      <right/>
      <top style="hair">
        <color auto="1"/>
      </top>
      <bottom/>
      <diagonal/>
    </border>
    <border>
      <left style="hair">
        <color indexed="64"/>
      </left>
      <right style="hair">
        <color indexed="64"/>
      </right>
      <top/>
      <bottom style="hair">
        <color indexed="64"/>
      </bottom>
      <diagonal/>
    </border>
    <border>
      <left/>
      <right style="medium">
        <color indexed="64"/>
      </right>
      <top style="hair">
        <color auto="1"/>
      </top>
      <bottom style="hair">
        <color auto="1"/>
      </bottom>
      <diagonal/>
    </border>
    <border>
      <left/>
      <right style="medium">
        <color indexed="64"/>
      </right>
      <top style="thin">
        <color auto="1"/>
      </top>
      <bottom style="thin">
        <color auto="1"/>
      </bottom>
      <diagonal/>
    </border>
    <border>
      <left style="hair">
        <color indexed="64"/>
      </left>
      <right style="hair">
        <color indexed="64"/>
      </right>
      <top/>
      <bottom style="thin">
        <color indexed="64"/>
      </bottom>
      <diagonal/>
    </border>
    <border>
      <left/>
      <right style="medium">
        <color indexed="64"/>
      </right>
      <top style="hair">
        <color auto="1"/>
      </top>
      <bottom style="thin">
        <color auto="1"/>
      </bottom>
      <diagonal/>
    </border>
    <border>
      <left style="medium">
        <color indexed="64"/>
      </left>
      <right style="hair">
        <color auto="1"/>
      </right>
      <top/>
      <bottom style="thin">
        <color auto="1"/>
      </bottom>
      <diagonal/>
    </border>
    <border>
      <left style="medium">
        <color indexed="64"/>
      </left>
      <right/>
      <top style="thin">
        <color auto="1"/>
      </top>
      <bottom style="thin">
        <color auto="1"/>
      </bottom>
      <diagonal/>
    </border>
    <border>
      <left/>
      <right/>
      <top style="thin">
        <color auto="1"/>
      </top>
      <bottom style="thin">
        <color auto="1"/>
      </bottom>
      <diagonal/>
    </border>
    <border>
      <left style="medium">
        <color indexed="64"/>
      </left>
      <right style="hair">
        <color indexed="64"/>
      </right>
      <top style="thin">
        <color auto="1"/>
      </top>
      <bottom style="thin">
        <color auto="1"/>
      </bottom>
      <diagonal/>
    </border>
    <border>
      <left style="hair">
        <color indexed="64"/>
      </left>
      <right style="medium">
        <color indexed="64"/>
      </right>
      <top style="thin">
        <color auto="1"/>
      </top>
      <bottom style="thin">
        <color auto="1"/>
      </bottom>
      <diagonal/>
    </border>
    <border>
      <left/>
      <right/>
      <top style="hair">
        <color auto="1"/>
      </top>
      <bottom style="thin">
        <color indexed="64"/>
      </bottom>
      <diagonal/>
    </border>
    <border>
      <left style="medium">
        <color indexed="64"/>
      </left>
      <right/>
      <top style="medium">
        <color indexed="64"/>
      </top>
      <bottom style="thin">
        <color auto="1"/>
      </bottom>
      <diagonal/>
    </border>
    <border>
      <left/>
      <right/>
      <top style="medium">
        <color indexed="64"/>
      </top>
      <bottom style="thin">
        <color auto="1"/>
      </bottom>
      <diagonal/>
    </border>
    <border>
      <left/>
      <right style="medium">
        <color indexed="64"/>
      </right>
      <top style="medium">
        <color indexed="64"/>
      </top>
      <bottom style="thin">
        <color auto="1"/>
      </bottom>
      <diagonal/>
    </border>
    <border>
      <left style="medium">
        <color indexed="64"/>
      </left>
      <right/>
      <top style="hair">
        <color auto="1"/>
      </top>
      <bottom style="medium">
        <color indexed="64"/>
      </bottom>
      <diagonal/>
    </border>
    <border>
      <left style="hair">
        <color auto="1"/>
      </left>
      <right style="hair">
        <color auto="1"/>
      </right>
      <top style="hair">
        <color auto="1"/>
      </top>
      <bottom style="medium">
        <color indexed="64"/>
      </bottom>
      <diagonal/>
    </border>
    <border>
      <left style="hair">
        <color auto="1"/>
      </left>
      <right style="medium">
        <color indexed="64"/>
      </right>
      <top style="hair">
        <color auto="1"/>
      </top>
      <bottom style="medium">
        <color indexed="64"/>
      </bottom>
      <diagonal/>
    </border>
    <border>
      <left style="medium">
        <color indexed="64"/>
      </left>
      <right style="hair">
        <color auto="1"/>
      </right>
      <top style="hair">
        <color auto="1"/>
      </top>
      <bottom style="medium">
        <color indexed="64"/>
      </bottom>
      <diagonal/>
    </border>
    <border>
      <left style="medium">
        <color indexed="64"/>
      </left>
      <right style="medium">
        <color indexed="64"/>
      </right>
      <top style="thin">
        <color auto="1"/>
      </top>
      <bottom style="thin">
        <color auto="1"/>
      </bottom>
      <diagonal/>
    </border>
    <border>
      <left style="hair">
        <color auto="1"/>
      </left>
      <right style="hair">
        <color auto="1"/>
      </right>
      <top/>
      <bottom/>
      <diagonal/>
    </border>
    <border>
      <left style="hair">
        <color auto="1"/>
      </left>
      <right/>
      <top/>
      <bottom/>
      <diagonal/>
    </border>
    <border>
      <left style="medium">
        <color indexed="64"/>
      </left>
      <right style="hair">
        <color auto="1"/>
      </right>
      <top/>
      <bottom/>
      <diagonal/>
    </border>
    <border>
      <left/>
      <right style="hair">
        <color auto="1"/>
      </right>
      <top/>
      <bottom/>
      <diagonal/>
    </border>
    <border>
      <left/>
      <right/>
      <top style="thin">
        <color auto="1"/>
      </top>
      <bottom/>
      <diagonal/>
    </border>
    <border>
      <left/>
      <right style="medium">
        <color indexed="64"/>
      </right>
      <top/>
      <bottom style="thin">
        <color auto="1"/>
      </bottom>
      <diagonal/>
    </border>
    <border>
      <left/>
      <right style="medium">
        <color indexed="64"/>
      </right>
      <top/>
      <bottom style="hair">
        <color auto="1"/>
      </bottom>
      <diagonal/>
    </border>
    <border>
      <left style="hair">
        <color auto="1"/>
      </left>
      <right style="thin">
        <color auto="1"/>
      </right>
      <top/>
      <bottom style="hair">
        <color auto="1"/>
      </bottom>
      <diagonal/>
    </border>
  </borders>
  <cellStyleXfs count="5">
    <xf numFmtId="0" fontId="0" fillId="0" borderId="0">
      <alignment vertical="center"/>
    </xf>
    <xf numFmtId="0" fontId="2" fillId="0" borderId="0">
      <alignment vertical="center"/>
    </xf>
    <xf numFmtId="38" fontId="2" fillId="0" borderId="0" applyFont="0" applyFill="0" applyBorder="0" applyAlignment="0" applyProtection="0">
      <alignment vertical="center"/>
    </xf>
    <xf numFmtId="38" fontId="6" fillId="0" borderId="0" applyFont="0" applyFill="0" applyBorder="0" applyAlignment="0" applyProtection="0">
      <alignment vertical="center"/>
    </xf>
    <xf numFmtId="9" fontId="6" fillId="0" borderId="0" applyFont="0" applyFill="0" applyBorder="0" applyAlignment="0" applyProtection="0">
      <alignment vertical="center"/>
    </xf>
  </cellStyleXfs>
  <cellXfs count="253">
    <xf numFmtId="0" fontId="0" fillId="0" borderId="0" xfId="0">
      <alignment vertical="center"/>
    </xf>
    <xf numFmtId="0" fontId="4" fillId="0" borderId="0" xfId="0" applyFont="1">
      <alignment vertical="center"/>
    </xf>
    <xf numFmtId="0" fontId="0" fillId="0" borderId="22" xfId="0" applyBorder="1">
      <alignment vertical="center"/>
    </xf>
    <xf numFmtId="0" fontId="0" fillId="0" borderId="1" xfId="0" applyBorder="1">
      <alignment vertical="center"/>
    </xf>
    <xf numFmtId="0" fontId="0" fillId="0" borderId="2" xfId="0" applyBorder="1">
      <alignment vertical="center"/>
    </xf>
    <xf numFmtId="0" fontId="0" fillId="0" borderId="23" xfId="0" applyBorder="1">
      <alignment vertical="center"/>
    </xf>
    <xf numFmtId="38" fontId="5" fillId="3" borderId="1" xfId="0" applyNumberFormat="1" applyFont="1" applyFill="1" applyBorder="1">
      <alignment vertical="center"/>
    </xf>
    <xf numFmtId="38" fontId="0" fillId="3" borderId="1" xfId="0" applyNumberFormat="1" applyFill="1" applyBorder="1">
      <alignment vertical="center"/>
    </xf>
    <xf numFmtId="38" fontId="0" fillId="3" borderId="2" xfId="0" applyNumberFormat="1" applyFill="1" applyBorder="1">
      <alignment vertical="center"/>
    </xf>
    <xf numFmtId="38" fontId="0" fillId="3" borderId="23" xfId="0" applyNumberFormat="1" applyFill="1" applyBorder="1">
      <alignment vertical="center"/>
    </xf>
    <xf numFmtId="38" fontId="0" fillId="0" borderId="0" xfId="0" applyNumberFormat="1">
      <alignment vertical="center"/>
    </xf>
    <xf numFmtId="0" fontId="0" fillId="5" borderId="1" xfId="0" applyFill="1" applyBorder="1">
      <alignment vertical="center"/>
    </xf>
    <xf numFmtId="10" fontId="0" fillId="5" borderId="1" xfId="0" applyNumberFormat="1" applyFill="1" applyBorder="1">
      <alignment vertical="center"/>
    </xf>
    <xf numFmtId="10" fontId="0" fillId="5" borderId="2" xfId="0" applyNumberFormat="1" applyFill="1" applyBorder="1">
      <alignment vertical="center"/>
    </xf>
    <xf numFmtId="10" fontId="0" fillId="5" borderId="23" xfId="0" applyNumberFormat="1" applyFill="1" applyBorder="1">
      <alignment vertical="center"/>
    </xf>
    <xf numFmtId="3" fontId="0" fillId="5" borderId="1" xfId="0" applyNumberFormat="1" applyFill="1" applyBorder="1">
      <alignment vertical="center"/>
    </xf>
    <xf numFmtId="3" fontId="0" fillId="7" borderId="1" xfId="0" applyNumberFormat="1" applyFill="1" applyBorder="1">
      <alignment vertical="center"/>
    </xf>
    <xf numFmtId="3" fontId="0" fillId="5" borderId="2" xfId="0" applyNumberFormat="1" applyFill="1" applyBorder="1">
      <alignment vertical="center"/>
    </xf>
    <xf numFmtId="3" fontId="0" fillId="5" borderId="23" xfId="0" applyNumberFormat="1" applyFill="1" applyBorder="1">
      <alignment vertical="center"/>
    </xf>
    <xf numFmtId="3" fontId="0" fillId="0" borderId="0" xfId="0" applyNumberFormat="1">
      <alignment vertical="center"/>
    </xf>
    <xf numFmtId="0" fontId="0" fillId="8" borderId="1" xfId="0" applyFill="1" applyBorder="1">
      <alignment vertical="center"/>
    </xf>
    <xf numFmtId="10" fontId="0" fillId="8" borderId="1" xfId="0" applyNumberFormat="1" applyFill="1" applyBorder="1">
      <alignment vertical="center"/>
    </xf>
    <xf numFmtId="10" fontId="0" fillId="8" borderId="2" xfId="0" applyNumberFormat="1" applyFill="1" applyBorder="1">
      <alignment vertical="center"/>
    </xf>
    <xf numFmtId="10" fontId="0" fillId="8" borderId="23" xfId="0" applyNumberFormat="1" applyFill="1" applyBorder="1">
      <alignment vertical="center"/>
    </xf>
    <xf numFmtId="0" fontId="0" fillId="6" borderId="1" xfId="0" applyFill="1" applyBorder="1">
      <alignment vertical="center"/>
    </xf>
    <xf numFmtId="10" fontId="0" fillId="6" borderId="1" xfId="0" applyNumberFormat="1" applyFill="1" applyBorder="1">
      <alignment vertical="center"/>
    </xf>
    <xf numFmtId="10" fontId="0" fillId="6" borderId="2" xfId="0" applyNumberFormat="1" applyFill="1" applyBorder="1">
      <alignment vertical="center"/>
    </xf>
    <xf numFmtId="10" fontId="0" fillId="6" borderId="23" xfId="0" applyNumberFormat="1" applyFill="1" applyBorder="1">
      <alignment vertical="center"/>
    </xf>
    <xf numFmtId="3" fontId="0" fillId="6" borderId="1" xfId="0" applyNumberFormat="1" applyFill="1" applyBorder="1">
      <alignment vertical="center"/>
    </xf>
    <xf numFmtId="3" fontId="0" fillId="6" borderId="2" xfId="0" applyNumberFormat="1" applyFill="1" applyBorder="1">
      <alignment vertical="center"/>
    </xf>
    <xf numFmtId="3" fontId="0" fillId="6" borderId="27" xfId="0" applyNumberFormat="1" applyFill="1" applyBorder="1">
      <alignment vertical="center"/>
    </xf>
    <xf numFmtId="0" fontId="0" fillId="9" borderId="1" xfId="0" applyFill="1" applyBorder="1">
      <alignment vertical="center"/>
    </xf>
    <xf numFmtId="10" fontId="0" fillId="9" borderId="1" xfId="0" applyNumberFormat="1" applyFill="1" applyBorder="1">
      <alignment vertical="center"/>
    </xf>
    <xf numFmtId="10" fontId="0" fillId="9" borderId="2" xfId="0" applyNumberFormat="1" applyFill="1" applyBorder="1">
      <alignment vertical="center"/>
    </xf>
    <xf numFmtId="10" fontId="0" fillId="9" borderId="23" xfId="0" applyNumberFormat="1" applyFill="1" applyBorder="1">
      <alignment vertical="center"/>
    </xf>
    <xf numFmtId="3" fontId="0" fillId="9" borderId="1" xfId="0" applyNumberFormat="1" applyFill="1" applyBorder="1">
      <alignment vertical="center"/>
    </xf>
    <xf numFmtId="3" fontId="0" fillId="9" borderId="2" xfId="0" applyNumberFormat="1" applyFill="1" applyBorder="1">
      <alignment vertical="center"/>
    </xf>
    <xf numFmtId="3" fontId="0" fillId="9" borderId="23" xfId="0" applyNumberFormat="1" applyFill="1" applyBorder="1">
      <alignment vertical="center"/>
    </xf>
    <xf numFmtId="0" fontId="0" fillId="2" borderId="1" xfId="0" applyFill="1" applyBorder="1">
      <alignment vertical="center"/>
    </xf>
    <xf numFmtId="10" fontId="0" fillId="2" borderId="1" xfId="0" applyNumberFormat="1" applyFill="1" applyBorder="1">
      <alignment vertical="center"/>
    </xf>
    <xf numFmtId="10" fontId="0" fillId="2" borderId="2" xfId="0" applyNumberFormat="1" applyFill="1" applyBorder="1">
      <alignment vertical="center"/>
    </xf>
    <xf numFmtId="10" fontId="0" fillId="2" borderId="23" xfId="0" applyNumberFormat="1" applyFill="1" applyBorder="1">
      <alignment vertical="center"/>
    </xf>
    <xf numFmtId="3" fontId="0" fillId="2" borderId="1" xfId="0" applyNumberFormat="1" applyFill="1" applyBorder="1">
      <alignment vertical="center"/>
    </xf>
    <xf numFmtId="3" fontId="0" fillId="2" borderId="2" xfId="0" applyNumberFormat="1" applyFill="1" applyBorder="1">
      <alignment vertical="center"/>
    </xf>
    <xf numFmtId="3" fontId="0" fillId="2" borderId="23" xfId="0" applyNumberFormat="1" applyFill="1" applyBorder="1">
      <alignment vertical="center"/>
    </xf>
    <xf numFmtId="0" fontId="0" fillId="4" borderId="1" xfId="0" applyFill="1" applyBorder="1">
      <alignment vertical="center"/>
    </xf>
    <xf numFmtId="10" fontId="0" fillId="4" borderId="1" xfId="0" applyNumberFormat="1" applyFill="1" applyBorder="1">
      <alignment vertical="center"/>
    </xf>
    <xf numFmtId="10" fontId="0" fillId="4" borderId="2" xfId="0" applyNumberFormat="1" applyFill="1" applyBorder="1">
      <alignment vertical="center"/>
    </xf>
    <xf numFmtId="10" fontId="0" fillId="4" borderId="23" xfId="0" applyNumberFormat="1" applyFill="1" applyBorder="1">
      <alignment vertical="center"/>
    </xf>
    <xf numFmtId="3" fontId="0" fillId="4" borderId="1" xfId="0" applyNumberFormat="1" applyFill="1" applyBorder="1">
      <alignment vertical="center"/>
    </xf>
    <xf numFmtId="3" fontId="0" fillId="4" borderId="2" xfId="0" applyNumberFormat="1" applyFill="1" applyBorder="1">
      <alignment vertical="center"/>
    </xf>
    <xf numFmtId="3" fontId="0" fillId="4" borderId="23" xfId="0" applyNumberFormat="1" applyFill="1" applyBorder="1">
      <alignment vertical="center"/>
    </xf>
    <xf numFmtId="164" fontId="0" fillId="0" borderId="0" xfId="0" applyNumberFormat="1">
      <alignment vertical="center"/>
    </xf>
    <xf numFmtId="164" fontId="0" fillId="0" borderId="22" xfId="0" applyNumberFormat="1" applyBorder="1">
      <alignment vertical="center"/>
    </xf>
    <xf numFmtId="0" fontId="7" fillId="0" borderId="0" xfId="1" applyFont="1" applyAlignment="1">
      <alignment horizontal="center" vertical="center"/>
    </xf>
    <xf numFmtId="0" fontId="8" fillId="0" borderId="20" xfId="1" applyFont="1" applyBorder="1">
      <alignment vertical="center"/>
    </xf>
    <xf numFmtId="0" fontId="8" fillId="0" borderId="0" xfId="1" applyFont="1">
      <alignment vertical="center"/>
    </xf>
    <xf numFmtId="0" fontId="8" fillId="0" borderId="0" xfId="1" applyFont="1" applyAlignment="1">
      <alignment horizontal="center" vertical="center"/>
    </xf>
    <xf numFmtId="0" fontId="9" fillId="0" borderId="0" xfId="1" applyFont="1">
      <alignment vertical="center"/>
    </xf>
    <xf numFmtId="0" fontId="10" fillId="0" borderId="0" xfId="1" applyFont="1">
      <alignment vertical="center"/>
    </xf>
    <xf numFmtId="0" fontId="11" fillId="0" borderId="0" xfId="1" applyFont="1" applyAlignment="1">
      <alignment horizontal="center" vertical="center"/>
    </xf>
    <xf numFmtId="0" fontId="11" fillId="0" borderId="0" xfId="1" applyFont="1" applyAlignment="1">
      <alignment horizontal="right" vertical="center"/>
    </xf>
    <xf numFmtId="14" fontId="11" fillId="0" borderId="0" xfId="1" applyNumberFormat="1" applyFont="1">
      <alignment vertical="center"/>
    </xf>
    <xf numFmtId="0" fontId="11" fillId="0" borderId="0" xfId="1" applyFont="1">
      <alignment vertical="center"/>
    </xf>
    <xf numFmtId="0" fontId="12" fillId="0" borderId="0" xfId="1" applyFont="1" applyAlignment="1">
      <alignment horizontal="center" vertical="center"/>
    </xf>
    <xf numFmtId="0" fontId="9" fillId="0" borderId="0" xfId="1" applyFont="1" applyAlignment="1">
      <alignment horizontal="center" vertical="center"/>
    </xf>
    <xf numFmtId="0" fontId="8" fillId="0" borderId="19" xfId="1" applyFont="1" applyBorder="1" applyAlignment="1">
      <alignment horizontal="center" vertical="center"/>
    </xf>
    <xf numFmtId="38" fontId="15" fillId="0" borderId="7" xfId="3" applyFont="1" applyBorder="1" applyAlignment="1">
      <alignment horizontal="center" vertical="center"/>
    </xf>
    <xf numFmtId="38" fontId="15" fillId="6" borderId="9" xfId="3" applyFont="1" applyFill="1" applyBorder="1" applyAlignment="1">
      <alignment horizontal="center" vertical="center"/>
    </xf>
    <xf numFmtId="38" fontId="16" fillId="0" borderId="7" xfId="3" applyFont="1" applyBorder="1" applyAlignment="1">
      <alignment horizontal="center" vertical="center"/>
    </xf>
    <xf numFmtId="38" fontId="15" fillId="0" borderId="7" xfId="3" applyFont="1" applyFill="1" applyBorder="1" applyAlignment="1">
      <alignment horizontal="center" vertical="center"/>
    </xf>
    <xf numFmtId="38" fontId="15" fillId="0" borderId="28" xfId="3" applyFont="1" applyBorder="1" applyAlignment="1">
      <alignment horizontal="center" vertical="center"/>
    </xf>
    <xf numFmtId="38" fontId="15" fillId="0" borderId="35" xfId="3" applyFont="1" applyBorder="1" applyAlignment="1">
      <alignment horizontal="center" vertical="center"/>
    </xf>
    <xf numFmtId="38" fontId="15" fillId="0" borderId="36" xfId="3" applyFont="1" applyBorder="1" applyAlignment="1">
      <alignment horizontal="center" vertical="center"/>
    </xf>
    <xf numFmtId="38" fontId="15" fillId="6" borderId="34" xfId="3" applyFont="1" applyFill="1" applyBorder="1" applyAlignment="1">
      <alignment horizontal="center" vertical="center"/>
    </xf>
    <xf numFmtId="38" fontId="15" fillId="0" borderId="35" xfId="3" applyFont="1" applyFill="1" applyBorder="1" applyAlignment="1">
      <alignment horizontal="center" vertical="center"/>
    </xf>
    <xf numFmtId="38" fontId="15" fillId="0" borderId="40" xfId="3" applyFont="1" applyBorder="1" applyAlignment="1">
      <alignment horizontal="center" vertical="center"/>
    </xf>
    <xf numFmtId="38" fontId="15" fillId="0" borderId="41" xfId="3" applyFont="1" applyBorder="1" applyAlignment="1">
      <alignment horizontal="center" vertical="center"/>
    </xf>
    <xf numFmtId="38" fontId="15" fillId="6" borderId="38" xfId="3" applyFont="1" applyFill="1" applyBorder="1" applyAlignment="1">
      <alignment horizontal="center" vertical="center"/>
    </xf>
    <xf numFmtId="38" fontId="15" fillId="0" borderId="40" xfId="3" applyFont="1" applyFill="1" applyBorder="1" applyAlignment="1">
      <alignment horizontal="center" vertical="center"/>
    </xf>
    <xf numFmtId="38" fontId="8" fillId="0" borderId="0" xfId="3" applyFont="1" applyBorder="1" applyAlignment="1">
      <alignment horizontal="center" vertical="center"/>
    </xf>
    <xf numFmtId="38" fontId="12" fillId="4" borderId="4" xfId="3" applyFont="1" applyFill="1" applyBorder="1" applyAlignment="1">
      <alignment horizontal="center" vertical="center"/>
    </xf>
    <xf numFmtId="38" fontId="12" fillId="4" borderId="33" xfId="3" applyFont="1" applyFill="1" applyBorder="1" applyAlignment="1">
      <alignment horizontal="center" vertical="center"/>
    </xf>
    <xf numFmtId="0" fontId="11" fillId="0" borderId="44" xfId="1" applyFont="1" applyBorder="1">
      <alignment vertical="center"/>
    </xf>
    <xf numFmtId="38" fontId="12" fillId="0" borderId="42" xfId="3" applyFont="1" applyBorder="1" applyAlignment="1">
      <alignment horizontal="center" vertical="center"/>
    </xf>
    <xf numFmtId="38" fontId="12" fillId="0" borderId="37" xfId="3" applyFont="1" applyBorder="1" applyAlignment="1">
      <alignment horizontal="center" vertical="center"/>
    </xf>
    <xf numFmtId="38" fontId="12" fillId="0" borderId="13" xfId="3" applyFont="1" applyBorder="1" applyAlignment="1">
      <alignment horizontal="center" vertical="center"/>
    </xf>
    <xf numFmtId="38" fontId="12" fillId="0" borderId="47" xfId="3" applyFont="1" applyBorder="1" applyAlignment="1">
      <alignment horizontal="center" vertical="center"/>
    </xf>
    <xf numFmtId="9" fontId="12" fillId="4" borderId="49" xfId="4" applyFont="1" applyFill="1" applyBorder="1" applyAlignment="1">
      <alignment horizontal="center" vertical="center"/>
    </xf>
    <xf numFmtId="38" fontId="15" fillId="0" borderId="9" xfId="3" applyFont="1" applyBorder="1" applyAlignment="1">
      <alignment horizontal="center" vertical="center"/>
    </xf>
    <xf numFmtId="38" fontId="12" fillId="0" borderId="32" xfId="3" applyFont="1" applyBorder="1" applyAlignment="1">
      <alignment horizontal="center" vertical="center"/>
    </xf>
    <xf numFmtId="9" fontId="12" fillId="10" borderId="43" xfId="4" applyFont="1" applyFill="1" applyBorder="1" applyAlignment="1">
      <alignment horizontal="center" vertical="center"/>
    </xf>
    <xf numFmtId="38" fontId="12" fillId="4" borderId="52" xfId="3" applyFont="1" applyFill="1" applyBorder="1" applyAlignment="1">
      <alignment horizontal="center" vertical="center"/>
    </xf>
    <xf numFmtId="38" fontId="12" fillId="4" borderId="50" xfId="3" applyFont="1" applyFill="1" applyBorder="1" applyAlignment="1">
      <alignment horizontal="center" vertical="center"/>
    </xf>
    <xf numFmtId="38" fontId="12" fillId="0" borderId="17" xfId="3" applyFont="1" applyBorder="1" applyAlignment="1">
      <alignment horizontal="center" vertical="center"/>
    </xf>
    <xf numFmtId="38" fontId="15" fillId="6" borderId="30" xfId="3" applyFont="1" applyFill="1" applyBorder="1" applyAlignment="1">
      <alignment horizontal="center" vertical="center"/>
    </xf>
    <xf numFmtId="9" fontId="15" fillId="0" borderId="48" xfId="4" applyFont="1" applyBorder="1" applyAlignment="1">
      <alignment horizontal="center" vertical="center"/>
    </xf>
    <xf numFmtId="0" fontId="19" fillId="0" borderId="55" xfId="1" applyFont="1" applyBorder="1" applyAlignment="1">
      <alignment horizontal="center" vertical="center"/>
    </xf>
    <xf numFmtId="0" fontId="19" fillId="0" borderId="4" xfId="1" applyFont="1" applyBorder="1" applyAlignment="1">
      <alignment horizontal="center" vertical="center"/>
    </xf>
    <xf numFmtId="0" fontId="17" fillId="0" borderId="56" xfId="1" applyFont="1" applyBorder="1" applyAlignment="1">
      <alignment horizontal="center" vertical="center"/>
    </xf>
    <xf numFmtId="9" fontId="12" fillId="4" borderId="16" xfId="4" applyFont="1" applyFill="1" applyBorder="1" applyAlignment="1">
      <alignment horizontal="center" vertical="center"/>
    </xf>
    <xf numFmtId="9" fontId="15" fillId="0" borderId="15" xfId="4" applyFont="1" applyBorder="1" applyAlignment="1">
      <alignment horizontal="center" vertical="center"/>
    </xf>
    <xf numFmtId="38" fontId="12" fillId="0" borderId="52" xfId="3" applyFont="1" applyBorder="1" applyAlignment="1">
      <alignment horizontal="center" vertical="center"/>
    </xf>
    <xf numFmtId="38" fontId="12" fillId="0" borderId="57" xfId="3" applyFont="1" applyBorder="1" applyAlignment="1">
      <alignment horizontal="center" vertical="center"/>
    </xf>
    <xf numFmtId="9" fontId="16" fillId="0" borderId="51" xfId="4" applyFont="1" applyBorder="1" applyAlignment="1">
      <alignment horizontal="center" vertical="center"/>
    </xf>
    <xf numFmtId="9" fontId="15" fillId="0" borderId="12" xfId="4" applyFont="1" applyBorder="1" applyAlignment="1">
      <alignment horizontal="center" vertical="center"/>
    </xf>
    <xf numFmtId="38" fontId="15" fillId="5" borderId="38" xfId="3" applyFont="1" applyFill="1" applyBorder="1" applyAlignment="1">
      <alignment horizontal="center" vertical="center"/>
    </xf>
    <xf numFmtId="38" fontId="15" fillId="5" borderId="30" xfId="3" applyFont="1" applyFill="1" applyBorder="1" applyAlignment="1">
      <alignment horizontal="center" vertical="center"/>
    </xf>
    <xf numFmtId="38" fontId="15" fillId="5" borderId="39" xfId="3" applyFont="1" applyFill="1" applyBorder="1" applyAlignment="1">
      <alignment horizontal="center" vertical="center"/>
    </xf>
    <xf numFmtId="38" fontId="15" fillId="5" borderId="34" xfId="3" applyFont="1" applyFill="1" applyBorder="1" applyAlignment="1">
      <alignment horizontal="center" vertical="center"/>
    </xf>
    <xf numFmtId="38" fontId="15" fillId="5" borderId="9" xfId="3" applyFont="1" applyFill="1" applyBorder="1" applyAlignment="1">
      <alignment horizontal="center" vertical="center"/>
    </xf>
    <xf numFmtId="38" fontId="15" fillId="6" borderId="39" xfId="3" applyFont="1" applyFill="1" applyBorder="1" applyAlignment="1">
      <alignment horizontal="center" vertical="center"/>
    </xf>
    <xf numFmtId="38" fontId="15" fillId="11" borderId="38" xfId="3" applyFont="1" applyFill="1" applyBorder="1" applyAlignment="1">
      <alignment horizontal="center" vertical="center"/>
    </xf>
    <xf numFmtId="38" fontId="15" fillId="11" borderId="30" xfId="3" applyFont="1" applyFill="1" applyBorder="1" applyAlignment="1">
      <alignment horizontal="center" vertical="center"/>
    </xf>
    <xf numFmtId="38" fontId="15" fillId="11" borderId="39" xfId="3" applyFont="1" applyFill="1" applyBorder="1" applyAlignment="1">
      <alignment horizontal="center" vertical="center"/>
    </xf>
    <xf numFmtId="38" fontId="15" fillId="11" borderId="34" xfId="3" applyFont="1" applyFill="1" applyBorder="1" applyAlignment="1">
      <alignment horizontal="center" vertical="center"/>
    </xf>
    <xf numFmtId="38" fontId="15" fillId="11" borderId="9" xfId="3" applyFont="1" applyFill="1" applyBorder="1" applyAlignment="1">
      <alignment horizontal="center" vertical="center"/>
    </xf>
    <xf numFmtId="38" fontId="12" fillId="4" borderId="55" xfId="3" applyFont="1" applyFill="1" applyBorder="1" applyAlignment="1">
      <alignment horizontal="center" vertical="center"/>
    </xf>
    <xf numFmtId="38" fontId="12" fillId="0" borderId="61" xfId="3" applyFont="1" applyBorder="1" applyAlignment="1">
      <alignment horizontal="center" vertical="center"/>
    </xf>
    <xf numFmtId="38" fontId="12" fillId="0" borderId="62" xfId="3" applyFont="1" applyBorder="1" applyAlignment="1">
      <alignment horizontal="center" vertical="center"/>
    </xf>
    <xf numFmtId="9" fontId="12" fillId="10" borderId="63" xfId="4" applyFont="1" applyFill="1" applyBorder="1" applyAlignment="1">
      <alignment horizontal="center" vertical="center"/>
    </xf>
    <xf numFmtId="38" fontId="12" fillId="0" borderId="64" xfId="3" applyFont="1" applyBorder="1" applyAlignment="1">
      <alignment horizontal="center" vertical="center"/>
    </xf>
    <xf numFmtId="38" fontId="16" fillId="0" borderId="36" xfId="3" applyFont="1" applyBorder="1" applyAlignment="1">
      <alignment horizontal="center" vertical="center"/>
    </xf>
    <xf numFmtId="38" fontId="16" fillId="0" borderId="28" xfId="3" applyFont="1" applyBorder="1" applyAlignment="1">
      <alignment horizontal="center" vertical="center"/>
    </xf>
    <xf numFmtId="0" fontId="23" fillId="0" borderId="0" xfId="1" applyFont="1" applyAlignment="1">
      <alignment horizontal="center" vertical="center"/>
    </xf>
    <xf numFmtId="0" fontId="12" fillId="0" borderId="37" xfId="3" applyNumberFormat="1" applyFont="1" applyBorder="1" applyAlignment="1">
      <alignment horizontal="center" vertical="center"/>
    </xf>
    <xf numFmtId="38" fontId="12" fillId="6" borderId="66" xfId="3" applyFont="1" applyFill="1" applyBorder="1" applyAlignment="1">
      <alignment horizontal="center" vertical="center"/>
    </xf>
    <xf numFmtId="38" fontId="12" fillId="6" borderId="67" xfId="3" applyFont="1" applyFill="1" applyBorder="1" applyAlignment="1">
      <alignment horizontal="center" vertical="center"/>
    </xf>
    <xf numFmtId="0" fontId="19" fillId="10" borderId="55" xfId="1" applyFont="1" applyFill="1" applyBorder="1" applyAlignment="1">
      <alignment horizontal="center" vertical="center"/>
    </xf>
    <xf numFmtId="0" fontId="19" fillId="10" borderId="4" xfId="1" applyFont="1" applyFill="1" applyBorder="1" applyAlignment="1">
      <alignment horizontal="center" vertical="center"/>
    </xf>
    <xf numFmtId="0" fontId="17" fillId="10" borderId="56" xfId="1" applyFont="1" applyFill="1" applyBorder="1" applyAlignment="1">
      <alignment horizontal="center" vertical="center"/>
    </xf>
    <xf numFmtId="9" fontId="17" fillId="10" borderId="56" xfId="4" applyFont="1" applyFill="1" applyBorder="1" applyAlignment="1">
      <alignment horizontal="center" vertical="center"/>
    </xf>
    <xf numFmtId="38" fontId="12" fillId="0" borderId="70" xfId="3" applyFont="1" applyBorder="1" applyAlignment="1">
      <alignment horizontal="center" vertical="center"/>
    </xf>
    <xf numFmtId="38" fontId="12" fillId="6" borderId="68" xfId="3" applyFont="1" applyFill="1" applyBorder="1" applyAlignment="1">
      <alignment horizontal="center" vertical="center"/>
    </xf>
    <xf numFmtId="38" fontId="12" fillId="6" borderId="69" xfId="3" applyFont="1" applyFill="1" applyBorder="1" applyAlignment="1">
      <alignment horizontal="center" vertical="center"/>
    </xf>
    <xf numFmtId="38" fontId="12" fillId="13" borderId="4" xfId="3" applyFont="1" applyFill="1" applyBorder="1" applyAlignment="1">
      <alignment horizontal="center" vertical="center"/>
    </xf>
    <xf numFmtId="38" fontId="12" fillId="13" borderId="52" xfId="3" applyFont="1" applyFill="1" applyBorder="1" applyAlignment="1">
      <alignment horizontal="center" vertical="center"/>
    </xf>
    <xf numFmtId="9" fontId="12" fillId="13" borderId="52" xfId="4" applyFont="1" applyFill="1" applyBorder="1" applyAlignment="1">
      <alignment horizontal="center" vertical="center"/>
    </xf>
    <xf numFmtId="9" fontId="12" fillId="13" borderId="52" xfId="3" applyNumberFormat="1" applyFont="1" applyFill="1" applyBorder="1" applyAlignment="1">
      <alignment horizontal="center" vertical="center"/>
    </xf>
    <xf numFmtId="9" fontId="12" fillId="13" borderId="65" xfId="4" applyFont="1" applyFill="1" applyBorder="1" applyAlignment="1">
      <alignment horizontal="center" vertical="center"/>
    </xf>
    <xf numFmtId="38" fontId="12" fillId="13" borderId="33" xfId="3" applyFont="1" applyFill="1" applyBorder="1" applyAlignment="1">
      <alignment horizontal="center" vertical="center"/>
    </xf>
    <xf numFmtId="9" fontId="12" fillId="13" borderId="49" xfId="4" applyFont="1" applyFill="1" applyBorder="1" applyAlignment="1">
      <alignment horizontal="center" vertical="center"/>
    </xf>
    <xf numFmtId="38" fontId="12" fillId="13" borderId="55" xfId="3" applyFont="1" applyFill="1" applyBorder="1" applyAlignment="1">
      <alignment horizontal="center" vertical="center"/>
    </xf>
    <xf numFmtId="9" fontId="12" fillId="13" borderId="16" xfId="4" applyFont="1" applyFill="1" applyBorder="1" applyAlignment="1">
      <alignment horizontal="center" vertical="center"/>
    </xf>
    <xf numFmtId="9" fontId="11" fillId="10" borderId="49" xfId="4" applyFont="1" applyFill="1" applyBorder="1" applyAlignment="1">
      <alignment horizontal="center" vertical="center"/>
    </xf>
    <xf numFmtId="9" fontId="16" fillId="6" borderId="48" xfId="4" applyFont="1" applyFill="1" applyBorder="1" applyAlignment="1">
      <alignment horizontal="center" vertical="center"/>
    </xf>
    <xf numFmtId="9" fontId="12" fillId="6" borderId="49" xfId="4" applyFont="1" applyFill="1" applyBorder="1" applyAlignment="1">
      <alignment horizontal="center" vertical="center"/>
    </xf>
    <xf numFmtId="9" fontId="16" fillId="6" borderId="15" xfId="4" applyFont="1" applyFill="1" applyBorder="1" applyAlignment="1">
      <alignment horizontal="center" vertical="center"/>
    </xf>
    <xf numFmtId="0" fontId="17" fillId="6" borderId="56" xfId="1" applyFont="1" applyFill="1" applyBorder="1" applyAlignment="1">
      <alignment horizontal="center" vertical="center"/>
    </xf>
    <xf numFmtId="38" fontId="15" fillId="0" borderId="47" xfId="3" applyFont="1" applyBorder="1" applyAlignment="1">
      <alignment horizontal="center" vertical="center"/>
    </xf>
    <xf numFmtId="38" fontId="15" fillId="10" borderId="4" xfId="3" applyFont="1" applyFill="1" applyBorder="1" applyAlignment="1">
      <alignment horizontal="center" vertical="center"/>
    </xf>
    <xf numFmtId="9" fontId="15" fillId="0" borderId="72" xfId="4" applyFont="1" applyBorder="1" applyAlignment="1">
      <alignment horizontal="center" vertical="center"/>
    </xf>
    <xf numFmtId="38" fontId="15" fillId="0" borderId="47" xfId="3" applyFont="1" applyFill="1" applyBorder="1" applyAlignment="1">
      <alignment horizontal="center" vertical="center"/>
    </xf>
    <xf numFmtId="9" fontId="15" fillId="0" borderId="73" xfId="4" applyFont="1" applyBorder="1" applyAlignment="1">
      <alignment horizontal="center" vertical="center"/>
    </xf>
    <xf numFmtId="38" fontId="15" fillId="10" borderId="55" xfId="3" applyFont="1" applyFill="1" applyBorder="1" applyAlignment="1">
      <alignment horizontal="center" vertical="center"/>
    </xf>
    <xf numFmtId="38" fontId="15" fillId="10" borderId="56" xfId="3" applyFont="1" applyFill="1" applyBorder="1" applyAlignment="1">
      <alignment horizontal="center" vertical="center"/>
    </xf>
    <xf numFmtId="9" fontId="11" fillId="10" borderId="39" xfId="4" applyFont="1" applyFill="1" applyBorder="1" applyAlignment="1">
      <alignment horizontal="center" vertical="center"/>
    </xf>
    <xf numFmtId="9" fontId="11" fillId="10" borderId="71" xfId="4" applyFont="1" applyFill="1" applyBorder="1" applyAlignment="1">
      <alignment horizontal="center" vertical="center"/>
    </xf>
    <xf numFmtId="3" fontId="0" fillId="8" borderId="24" xfId="0" applyNumberFormat="1" applyFill="1" applyBorder="1">
      <alignment vertical="center"/>
    </xf>
    <xf numFmtId="3" fontId="0" fillId="8" borderId="25" xfId="0" applyNumberFormat="1" applyFill="1" applyBorder="1">
      <alignment vertical="center"/>
    </xf>
    <xf numFmtId="3" fontId="0" fillId="8" borderId="26" xfId="0" applyNumberFormat="1" applyFill="1" applyBorder="1">
      <alignment vertical="center"/>
    </xf>
    <xf numFmtId="3" fontId="0" fillId="8" borderId="11" xfId="0" applyNumberFormat="1" applyFill="1" applyBorder="1">
      <alignment vertical="center"/>
    </xf>
    <xf numFmtId="3" fontId="0" fillId="8" borderId="6" xfId="0" applyNumberFormat="1" applyFill="1" applyBorder="1">
      <alignment vertical="center"/>
    </xf>
    <xf numFmtId="3" fontId="0" fillId="8" borderId="3" xfId="0" applyNumberFormat="1" applyFill="1" applyBorder="1">
      <alignment vertical="center"/>
    </xf>
    <xf numFmtId="3" fontId="0" fillId="6" borderId="1" xfId="0" applyNumberFormat="1" applyFill="1" applyBorder="1" applyAlignment="1">
      <alignment horizontal="center" vertical="center"/>
    </xf>
    <xf numFmtId="3" fontId="0" fillId="5" borderId="11" xfId="0" applyNumberFormat="1" applyFill="1" applyBorder="1" applyAlignment="1">
      <alignment horizontal="center" vertical="center"/>
    </xf>
    <xf numFmtId="3" fontId="0" fillId="5" borderId="3" xfId="0" applyNumberFormat="1" applyFill="1" applyBorder="1" applyAlignment="1">
      <alignment horizontal="center" vertical="center"/>
    </xf>
    <xf numFmtId="3" fontId="0" fillId="8" borderId="11" xfId="0" applyNumberFormat="1" applyFill="1" applyBorder="1" applyAlignment="1">
      <alignment horizontal="center" vertical="center" wrapText="1"/>
    </xf>
    <xf numFmtId="3" fontId="0" fillId="8" borderId="6" xfId="0" applyNumberFormat="1" applyFill="1" applyBorder="1" applyAlignment="1">
      <alignment horizontal="center" vertical="center" wrapText="1"/>
    </xf>
    <xf numFmtId="3" fontId="0" fillId="8" borderId="3" xfId="0" applyNumberFormat="1" applyFill="1" applyBorder="1" applyAlignment="1">
      <alignment horizontal="center" vertical="center" wrapText="1"/>
    </xf>
    <xf numFmtId="3" fontId="0" fillId="8" borderId="11" xfId="0" applyNumberFormat="1" applyFill="1" applyBorder="1" applyAlignment="1">
      <alignment horizontal="left" vertical="center"/>
    </xf>
    <xf numFmtId="3" fontId="0" fillId="8" borderId="6" xfId="0" applyNumberFormat="1" applyFill="1" applyBorder="1" applyAlignment="1">
      <alignment horizontal="left" vertical="center"/>
    </xf>
    <xf numFmtId="3" fontId="0" fillId="8" borderId="3" xfId="0" applyNumberFormat="1" applyFill="1" applyBorder="1" applyAlignment="1">
      <alignment horizontal="left" vertical="center"/>
    </xf>
    <xf numFmtId="3" fontId="0" fillId="8" borderId="1" xfId="0" applyNumberFormat="1" applyFill="1" applyBorder="1">
      <alignment vertical="center"/>
    </xf>
    <xf numFmtId="3" fontId="4" fillId="9" borderId="1" xfId="0" applyNumberFormat="1" applyFont="1" applyFill="1" applyBorder="1" applyAlignment="1">
      <alignment horizontal="center" vertical="center" wrapText="1"/>
    </xf>
    <xf numFmtId="3" fontId="0" fillId="2" borderId="1" xfId="0" applyNumberFormat="1" applyFill="1" applyBorder="1" applyAlignment="1">
      <alignment horizontal="center" vertical="center"/>
    </xf>
    <xf numFmtId="3" fontId="0" fillId="4" borderId="1" xfId="0" applyNumberFormat="1" applyFill="1" applyBorder="1" applyAlignment="1">
      <alignment horizontal="center" vertical="center"/>
    </xf>
    <xf numFmtId="3" fontId="0" fillId="8" borderId="21" xfId="0" applyNumberFormat="1" applyFill="1" applyBorder="1">
      <alignment vertical="center"/>
    </xf>
    <xf numFmtId="3" fontId="0" fillId="8" borderId="20" xfId="0" applyNumberFormat="1" applyFill="1" applyBorder="1">
      <alignment vertical="center"/>
    </xf>
    <xf numFmtId="3" fontId="0" fillId="8" borderId="18" xfId="0" applyNumberFormat="1" applyFill="1" applyBorder="1">
      <alignment vertical="center"/>
    </xf>
    <xf numFmtId="0" fontId="12" fillId="6" borderId="0" xfId="1" applyFont="1" applyFill="1" applyAlignment="1">
      <alignment horizontal="center" vertical="center"/>
    </xf>
    <xf numFmtId="14" fontId="11" fillId="0" borderId="0" xfId="1" applyNumberFormat="1" applyFont="1" applyAlignment="1">
      <alignment horizontal="center" vertical="center"/>
    </xf>
    <xf numFmtId="0" fontId="11" fillId="0" borderId="0" xfId="1" applyFont="1" applyAlignment="1">
      <alignment horizontal="center" vertical="center"/>
    </xf>
    <xf numFmtId="0" fontId="22" fillId="6" borderId="17" xfId="1" applyFont="1" applyFill="1" applyBorder="1" applyAlignment="1">
      <alignment horizontal="center" vertical="center"/>
    </xf>
    <xf numFmtId="0" fontId="13" fillId="0" borderId="0" xfId="1" applyFont="1" applyAlignment="1">
      <alignment horizontal="center" vertical="center"/>
    </xf>
    <xf numFmtId="0" fontId="17" fillId="0" borderId="5" xfId="1" applyFont="1" applyBorder="1" applyAlignment="1">
      <alignment horizontal="center" vertical="center"/>
    </xf>
    <xf numFmtId="0" fontId="17" fillId="0" borderId="4" xfId="1" applyFont="1" applyBorder="1" applyAlignment="1">
      <alignment horizontal="center" vertical="center"/>
    </xf>
    <xf numFmtId="0" fontId="17" fillId="0" borderId="29" xfId="1" applyFont="1" applyBorder="1" applyAlignment="1">
      <alignment horizontal="center" vertical="center"/>
    </xf>
    <xf numFmtId="0" fontId="19" fillId="0" borderId="53" xfId="1" applyFont="1" applyBorder="1" applyAlignment="1">
      <alignment horizontal="center" vertical="center"/>
    </xf>
    <xf numFmtId="0" fontId="0" fillId="0" borderId="54" xfId="0" applyBorder="1" applyAlignment="1">
      <alignment horizontal="center" vertical="center"/>
    </xf>
    <xf numFmtId="0" fontId="0" fillId="0" borderId="49" xfId="0" applyBorder="1" applyAlignment="1">
      <alignment horizontal="center" vertical="center"/>
    </xf>
    <xf numFmtId="0" fontId="9" fillId="0" borderId="0" xfId="1" applyFont="1" applyAlignment="1">
      <alignment horizontal="center" vertical="center"/>
    </xf>
    <xf numFmtId="0" fontId="21" fillId="12" borderId="53" xfId="1" applyFont="1" applyFill="1" applyBorder="1" applyAlignment="1">
      <alignment horizontal="center" vertical="center"/>
    </xf>
    <xf numFmtId="0" fontId="20" fillId="12" borderId="54" xfId="0" applyFont="1" applyFill="1" applyBorder="1" applyAlignment="1">
      <alignment horizontal="center" vertical="center"/>
    </xf>
    <xf numFmtId="0" fontId="20" fillId="12" borderId="49" xfId="0" applyFont="1" applyFill="1" applyBorder="1" applyAlignment="1">
      <alignment horizontal="center" vertical="center"/>
    </xf>
    <xf numFmtId="38" fontId="12" fillId="13" borderId="5" xfId="3" applyFont="1" applyFill="1" applyBorder="1" applyAlignment="1">
      <alignment horizontal="center" vertical="center"/>
    </xf>
    <xf numFmtId="38" fontId="12" fillId="13" borderId="4" xfId="3" applyFont="1" applyFill="1" applyBorder="1" applyAlignment="1">
      <alignment horizontal="center" vertical="center"/>
    </xf>
    <xf numFmtId="38" fontId="12" fillId="13" borderId="29" xfId="3" applyFont="1" applyFill="1" applyBorder="1" applyAlignment="1">
      <alignment horizontal="center" vertical="center"/>
    </xf>
    <xf numFmtId="0" fontId="19" fillId="0" borderId="58" xfId="1" applyFont="1" applyBorder="1" applyAlignment="1">
      <alignment horizontal="center" vertical="center"/>
    </xf>
    <xf numFmtId="0" fontId="0" fillId="0" borderId="59" xfId="0" applyBorder="1" applyAlignment="1">
      <alignment horizontal="center" vertical="center"/>
    </xf>
    <xf numFmtId="0" fontId="0" fillId="0" borderId="60" xfId="0" applyBorder="1" applyAlignment="1">
      <alignment horizontal="center" vertical="center"/>
    </xf>
    <xf numFmtId="38" fontId="15" fillId="0" borderId="8" xfId="3" applyFont="1" applyBorder="1" applyAlignment="1">
      <alignment horizontal="center" vertical="center"/>
    </xf>
    <xf numFmtId="38" fontId="15" fillId="0" borderId="7" xfId="3" applyFont="1" applyBorder="1" applyAlignment="1">
      <alignment horizontal="center" vertical="center"/>
    </xf>
    <xf numFmtId="38" fontId="15" fillId="0" borderId="31" xfId="3" applyFont="1" applyBorder="1" applyAlignment="1">
      <alignment horizontal="center" vertical="center"/>
    </xf>
    <xf numFmtId="38" fontId="16" fillId="10" borderId="10" xfId="3" applyFont="1" applyFill="1" applyBorder="1" applyAlignment="1">
      <alignment horizontal="center" vertical="center"/>
    </xf>
    <xf numFmtId="38" fontId="16" fillId="10" borderId="9" xfId="3" applyFont="1" applyFill="1" applyBorder="1" applyAlignment="1">
      <alignment horizontal="center" vertical="center"/>
    </xf>
    <xf numFmtId="38" fontId="16" fillId="10" borderId="30" xfId="3" applyFont="1" applyFill="1" applyBorder="1" applyAlignment="1">
      <alignment horizontal="center" vertical="center"/>
    </xf>
    <xf numFmtId="38" fontId="15" fillId="0" borderId="8" xfId="3" applyFont="1" applyFill="1" applyBorder="1" applyAlignment="1">
      <alignment horizontal="center" vertical="center"/>
    </xf>
    <xf numFmtId="38" fontId="15" fillId="0" borderId="7" xfId="3" applyFont="1" applyFill="1" applyBorder="1" applyAlignment="1">
      <alignment horizontal="center" vertical="center"/>
    </xf>
    <xf numFmtId="38" fontId="15" fillId="0" borderId="31" xfId="3" applyFont="1" applyFill="1" applyBorder="1" applyAlignment="1">
      <alignment horizontal="center" vertical="center"/>
    </xf>
    <xf numFmtId="0" fontId="17" fillId="0" borderId="2" xfId="1" applyFont="1" applyBorder="1" applyAlignment="1">
      <alignment horizontal="center" vertical="center"/>
    </xf>
    <xf numFmtId="38" fontId="18" fillId="10" borderId="14" xfId="3" applyFont="1" applyFill="1" applyBorder="1" applyAlignment="1">
      <alignment horizontal="center" vertical="center"/>
    </xf>
    <xf numFmtId="38" fontId="18" fillId="10" borderId="13" xfId="3" applyFont="1" applyFill="1" applyBorder="1" applyAlignment="1">
      <alignment horizontal="center" vertical="center"/>
    </xf>
    <xf numFmtId="38" fontId="18" fillId="10" borderId="32" xfId="3" applyFont="1" applyFill="1" applyBorder="1" applyAlignment="1">
      <alignment horizontal="center" vertical="center"/>
    </xf>
    <xf numFmtId="38" fontId="16" fillId="6" borderId="10" xfId="3" applyFont="1" applyFill="1" applyBorder="1" applyAlignment="1">
      <alignment horizontal="center" vertical="center"/>
    </xf>
    <xf numFmtId="38" fontId="16" fillId="6" borderId="9" xfId="3" applyFont="1" applyFill="1" applyBorder="1" applyAlignment="1">
      <alignment horizontal="center" vertical="center"/>
    </xf>
    <xf numFmtId="38" fontId="16" fillId="6" borderId="30" xfId="3" applyFont="1" applyFill="1" applyBorder="1" applyAlignment="1">
      <alignment horizontal="center" vertical="center"/>
    </xf>
    <xf numFmtId="38" fontId="12" fillId="11" borderId="5" xfId="3" applyFont="1" applyFill="1" applyBorder="1" applyAlignment="1">
      <alignment horizontal="center" vertical="center"/>
    </xf>
    <xf numFmtId="38" fontId="12" fillId="11" borderId="4" xfId="3" applyFont="1" applyFill="1" applyBorder="1" applyAlignment="1">
      <alignment horizontal="center" vertical="center"/>
    </xf>
    <xf numFmtId="38" fontId="12" fillId="11" borderId="29" xfId="3" applyFont="1" applyFill="1" applyBorder="1" applyAlignment="1">
      <alignment horizontal="center" vertical="center"/>
    </xf>
    <xf numFmtId="38" fontId="8" fillId="0" borderId="0" xfId="3" applyFont="1" applyBorder="1" applyAlignment="1">
      <alignment horizontal="center" vertical="center"/>
    </xf>
    <xf numFmtId="38" fontId="12" fillId="10" borderId="14" xfId="3" applyFont="1" applyFill="1" applyBorder="1" applyAlignment="1">
      <alignment horizontal="center" vertical="center"/>
    </xf>
    <xf numFmtId="38" fontId="12" fillId="10" borderId="13" xfId="3" applyFont="1" applyFill="1" applyBorder="1" applyAlignment="1">
      <alignment horizontal="center" vertical="center"/>
    </xf>
    <xf numFmtId="38" fontId="12" fillId="10" borderId="32" xfId="3" applyFont="1" applyFill="1" applyBorder="1" applyAlignment="1">
      <alignment horizontal="center" vertical="center"/>
    </xf>
    <xf numFmtId="38" fontId="16" fillId="11" borderId="10" xfId="3" applyFont="1" applyFill="1" applyBorder="1" applyAlignment="1">
      <alignment horizontal="center" vertical="center"/>
    </xf>
    <xf numFmtId="38" fontId="16" fillId="11" borderId="9" xfId="3" applyFont="1" applyFill="1" applyBorder="1" applyAlignment="1">
      <alignment horizontal="center" vertical="center"/>
    </xf>
    <xf numFmtId="38" fontId="16" fillId="11" borderId="30" xfId="3" applyFont="1" applyFill="1" applyBorder="1" applyAlignment="1">
      <alignment horizontal="center" vertical="center"/>
    </xf>
    <xf numFmtId="38" fontId="14" fillId="0" borderId="8" xfId="3" applyFont="1" applyBorder="1" applyAlignment="1">
      <alignment horizontal="center" vertical="center" wrapText="1"/>
    </xf>
    <xf numFmtId="38" fontId="14" fillId="0" borderId="7" xfId="3" applyFont="1" applyBorder="1" applyAlignment="1">
      <alignment horizontal="center" vertical="center" wrapText="1"/>
    </xf>
    <xf numFmtId="38" fontId="14" fillId="0" borderId="31" xfId="3" applyFont="1" applyBorder="1" applyAlignment="1">
      <alignment horizontal="center" vertical="center" wrapText="1"/>
    </xf>
    <xf numFmtId="38" fontId="15" fillId="0" borderId="45" xfId="3" applyFont="1" applyBorder="1" applyAlignment="1">
      <alignment horizontal="center" vertical="center"/>
    </xf>
    <xf numFmtId="38" fontId="15" fillId="0" borderId="28" xfId="3" applyFont="1" applyBorder="1" applyAlignment="1">
      <alignment horizontal="center" vertical="center"/>
    </xf>
    <xf numFmtId="38" fontId="15" fillId="0" borderId="46" xfId="3" applyFont="1" applyBorder="1" applyAlignment="1">
      <alignment horizontal="center" vertical="center"/>
    </xf>
    <xf numFmtId="38" fontId="12" fillId="6" borderId="2" xfId="3" applyFont="1" applyFill="1" applyBorder="1" applyAlignment="1">
      <alignment horizontal="center" vertical="center"/>
    </xf>
    <xf numFmtId="38" fontId="12" fillId="6" borderId="33" xfId="3" applyFont="1" applyFill="1" applyBorder="1" applyAlignment="1">
      <alignment horizontal="center" vertical="center"/>
    </xf>
    <xf numFmtId="0" fontId="21" fillId="4" borderId="53" xfId="1" applyFont="1" applyFill="1" applyBorder="1" applyAlignment="1">
      <alignment horizontal="center" vertical="center"/>
    </xf>
    <xf numFmtId="0" fontId="20" fillId="4" borderId="54" xfId="0" applyFont="1" applyFill="1" applyBorder="1" applyAlignment="1">
      <alignment horizontal="center" vertical="center"/>
    </xf>
    <xf numFmtId="0" fontId="20" fillId="4" borderId="49" xfId="0" applyFont="1" applyFill="1" applyBorder="1" applyAlignment="1">
      <alignment horizontal="center" vertical="center"/>
    </xf>
    <xf numFmtId="38" fontId="12" fillId="4" borderId="5" xfId="3" applyFont="1" applyFill="1" applyBorder="1" applyAlignment="1">
      <alignment horizontal="center" vertical="center"/>
    </xf>
    <xf numFmtId="38" fontId="12" fillId="4" borderId="4" xfId="3" applyFont="1" applyFill="1" applyBorder="1" applyAlignment="1">
      <alignment horizontal="center" vertical="center"/>
    </xf>
    <xf numFmtId="38" fontId="12" fillId="4" borderId="29" xfId="3" applyFont="1" applyFill="1" applyBorder="1" applyAlignment="1">
      <alignment horizontal="center" vertical="center"/>
    </xf>
    <xf numFmtId="38" fontId="12" fillId="0" borderId="14" xfId="3" applyFont="1" applyBorder="1" applyAlignment="1">
      <alignment horizontal="center" vertical="center"/>
    </xf>
    <xf numFmtId="38" fontId="12" fillId="0" borderId="13" xfId="3" applyFont="1" applyBorder="1" applyAlignment="1">
      <alignment horizontal="center" vertical="center"/>
    </xf>
    <xf numFmtId="38" fontId="12" fillId="0" borderId="32" xfId="3" applyFont="1" applyBorder="1" applyAlignment="1">
      <alignment horizontal="center" vertical="center"/>
    </xf>
    <xf numFmtId="38" fontId="16" fillId="5" borderId="10" xfId="3" applyFont="1" applyFill="1" applyBorder="1" applyAlignment="1">
      <alignment horizontal="center" vertical="center"/>
    </xf>
    <xf numFmtId="38" fontId="16" fillId="5" borderId="9" xfId="3" applyFont="1" applyFill="1" applyBorder="1" applyAlignment="1">
      <alignment horizontal="center" vertical="center"/>
    </xf>
    <xf numFmtId="38" fontId="16" fillId="5" borderId="30" xfId="3" applyFont="1" applyFill="1" applyBorder="1" applyAlignment="1">
      <alignment horizontal="center" vertical="center"/>
    </xf>
    <xf numFmtId="38" fontId="12" fillId="0" borderId="5" xfId="3" applyFont="1" applyBorder="1" applyAlignment="1">
      <alignment horizontal="center" vertical="center"/>
    </xf>
    <xf numFmtId="38" fontId="12" fillId="0" borderId="4" xfId="3" applyFont="1" applyBorder="1" applyAlignment="1">
      <alignment horizontal="center" vertical="center"/>
    </xf>
    <xf numFmtId="38" fontId="12" fillId="0" borderId="29" xfId="3" applyFont="1" applyBorder="1" applyAlignment="1">
      <alignment horizontal="center" vertical="center"/>
    </xf>
    <xf numFmtId="38" fontId="18" fillId="0" borderId="14" xfId="3" applyFont="1" applyBorder="1" applyAlignment="1">
      <alignment horizontal="center" vertical="center"/>
    </xf>
    <xf numFmtId="38" fontId="18" fillId="0" borderId="13" xfId="3" applyFont="1" applyBorder="1" applyAlignment="1">
      <alignment horizontal="center" vertical="center"/>
    </xf>
    <xf numFmtId="38" fontId="18" fillId="0" borderId="32" xfId="3" applyFont="1" applyBorder="1" applyAlignment="1">
      <alignment horizontal="center" vertical="center"/>
    </xf>
  </cellXfs>
  <cellStyles count="5">
    <cellStyle name="Comma [0]" xfId="3" builtinId="6"/>
    <cellStyle name="Normal" xfId="0" builtinId="0"/>
    <cellStyle name="Percent" xfId="4" builtinId="5"/>
    <cellStyle name="桁区切り 2" xfId="2" xr:uid="{A77940A8-4A13-42C6-B1A4-C004DDBAD38A}"/>
    <cellStyle name="標準 2" xfId="1" xr:uid="{06372072-7D5C-4DE7-A3AA-89A13A7DE9B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17/10/relationships/person" Target="persons/person.xml"/></Relationships>
</file>

<file path=xl/persons/person.xml><?xml version="1.0" encoding="utf-8"?>
<personList xmlns="http://schemas.microsoft.com/office/spreadsheetml/2018/threadedcomments" xmlns:x="http://schemas.openxmlformats.org/spreadsheetml/2006/main">
  <person displayName="shc078" id="{46EF02C0-BDD8-4EC5-8685-CED22651C722}" userId="shc078" providerId="None"/>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F8" dT="2025-07-11T02:32:33.79" personId="{46EF02C0-BDD8-4EC5-8685-CED22651C722}" id="{8601C4C8-89CE-4537-AD83-C971CF28A396}">
    <text>ワンアンドオンリー（高度人材・１名）</text>
  </threadedComment>
  <threadedComment ref="L8" dT="2025-07-11T02:30:41.89" personId="{46EF02C0-BDD8-4EC5-8685-CED22651C722}" id="{BB9328BF-79B5-4222-A025-3C9836695665}">
    <text>ワンアンドオンリー（１名）</text>
  </threadedComment>
  <threadedComment ref="R8" dT="2025-08-22T01:11:39.66" personId="{46EF02C0-BDD8-4EC5-8685-CED22651C722}" id="{F0B3BB08-6B0A-46E4-BCC7-8169BDE81C9A}">
    <text>北海プロテック</text>
  </threadedComment>
  <threadedComment ref="AA8" dT="2025-11-12T00:03:43.61" personId="{46EF02C0-BDD8-4EC5-8685-CED22651C722}" id="{5602F820-4681-4406-9AB7-1CFDA4EA7500}">
    <text>ワンオンリー1名</text>
  </threadedComment>
  <threadedComment ref="AD8" dT="2025-12-01T01:05:32.74" personId="{46EF02C0-BDD8-4EC5-8685-CED22651C722}" id="{50F37C17-25B8-43A9-9EF4-353FECB55D74}">
    <text>株式会社スタッフ満足</text>
  </threadedComment>
  <threadedComment ref="I9" dT="2025-07-11T02:36:38.52" personId="{46EF02C0-BDD8-4EC5-8685-CED22651C722}" id="{06F79DDD-B244-4E6F-B589-A9FC42CD045B}">
    <text>イブレス（１名特定技能）</text>
  </threadedComment>
  <threadedComment ref="L11" dT="2025-07-11T02:33:55.87" personId="{46EF02C0-BDD8-4EC5-8685-CED22651C722}" id="{3B14384F-69F8-4D73-8533-E938C7968996}">
    <text>イブレス１名、　OBIKE３名</text>
  </threadedComment>
  <threadedComment ref="AD11" dT="2025-12-01T01:11:33.38" personId="{46EF02C0-BDD8-4EC5-8685-CED22651C722}" id="{D88E71F6-C597-41BA-92D2-50A320544CD6}">
    <text>①オービーケー3名特定技能性支援（4.5万円）
②イヴレス1名特定技能性支援（2万円）
③イヴレス1名在留資格申請支援業務費用（8万円）</text>
  </threadedComment>
</ThreadedComments>
</file>

<file path=xl/threadedComments/threadedComment2.xml><?xml version="1.0" encoding="utf-8"?>
<ThreadedComments xmlns="http://schemas.microsoft.com/office/spreadsheetml/2018/threadedcomments" xmlns:x="http://schemas.openxmlformats.org/spreadsheetml/2006/main">
  <threadedComment ref="F8" dT="2025-07-11T02:32:33.79" personId="{46EF02C0-BDD8-4EC5-8685-CED22651C722}" id="{138FE3E3-B100-4516-BFD7-52A3AB746072}">
    <text>ワンアンドオンリー（高度人材・１名）</text>
  </threadedComment>
  <threadedComment ref="L8" dT="2025-07-11T02:30:41.89" personId="{46EF02C0-BDD8-4EC5-8685-CED22651C722}" id="{F796440E-6025-4020-8032-DAECBDF01F47}">
    <text>ワンアンドオンリー（１名）</text>
  </threadedComment>
  <threadedComment ref="R8" dT="2025-08-22T01:11:39.66" personId="{46EF02C0-BDD8-4EC5-8685-CED22651C722}" id="{96B14622-5DDC-4DF2-9F3A-9E6A6EF06C8F}">
    <text>北海プロテック</text>
  </threadedComment>
  <threadedComment ref="AA8" dT="2025-11-12T00:03:43.61" personId="{46EF02C0-BDD8-4EC5-8685-CED22651C722}" id="{BD7AB5AC-528F-4BF6-A84D-AB9E4F408567}">
    <text>ワンオンリー1名</text>
  </threadedComment>
  <threadedComment ref="I9" dT="2025-07-11T02:36:38.52" personId="{46EF02C0-BDD8-4EC5-8685-CED22651C722}" id="{92D00D43-2DA4-49C6-AF4A-0D0905CBCB35}">
    <text>イブレス（１名特定技能）</text>
  </threadedComment>
  <threadedComment ref="L11" dT="2025-07-11T02:33:55.87" personId="{46EF02C0-BDD8-4EC5-8685-CED22651C722}" id="{8E849E8A-ADB4-4D42-83DE-AD614737E2A4}">
    <text>イブレス１名、　OBIKE３名</text>
  </threadedComment>
</ThreadedComments>
</file>

<file path=xl/threadedComments/threadedComment3.xml><?xml version="1.0" encoding="utf-8"?>
<ThreadedComments xmlns="http://schemas.microsoft.com/office/spreadsheetml/2018/threadedcomments" xmlns:x="http://schemas.openxmlformats.org/spreadsheetml/2006/main">
  <threadedComment ref="F8" dT="2025-07-11T02:32:33.79" personId="{46EF02C0-BDD8-4EC5-8685-CED22651C722}" id="{D9055E8E-4FFF-4E54-B124-9634A0C0B301}">
    <text>ワンアンドオンリー（高度人材・１名）</text>
  </threadedComment>
  <threadedComment ref="L8" dT="2025-07-11T02:30:41.89" personId="{46EF02C0-BDD8-4EC5-8685-CED22651C722}" id="{9D426484-4F50-4709-9495-57C713D3C43A}">
    <text>ワンアンドオンリー（１名）</text>
  </threadedComment>
  <threadedComment ref="R8" dT="2025-08-22T01:11:39.66" personId="{46EF02C0-BDD8-4EC5-8685-CED22651C722}" id="{AD1A664B-005E-496E-86D6-E518B22D9368}">
    <text>北海プロテック</text>
  </threadedComment>
  <threadedComment ref="I9" dT="2025-07-11T02:36:38.52" personId="{46EF02C0-BDD8-4EC5-8685-CED22651C722}" id="{1E5FAD29-DE70-43ED-80FD-93558A9119AD}">
    <text>イブレス（１名特定技能）</text>
  </threadedComment>
  <threadedComment ref="L11" dT="2025-07-11T02:33:55.87" personId="{46EF02C0-BDD8-4EC5-8685-CED22651C722}" id="{B091D57D-5F9D-4FED-998C-C7E19D61D3CA}">
    <text>イブレス１名、　OBIKE３名</text>
  </threadedComment>
</ThreadedComments>
</file>

<file path=xl/threadedComments/threadedComment4.xml><?xml version="1.0" encoding="utf-8"?>
<ThreadedComments xmlns="http://schemas.microsoft.com/office/spreadsheetml/2018/threadedcomments" xmlns:x="http://schemas.openxmlformats.org/spreadsheetml/2006/main">
  <threadedComment ref="F8" dT="2025-07-11T02:32:33.79" personId="{46EF02C0-BDD8-4EC5-8685-CED22651C722}" id="{F83D7227-F6A7-4ED5-B31E-FEA4F2EF1D5E}">
    <text>ワンアンドオンリー（高度人材・１名）</text>
  </threadedComment>
  <threadedComment ref="L8" dT="2025-07-11T02:30:41.89" personId="{46EF02C0-BDD8-4EC5-8685-CED22651C722}" id="{12D8E813-F376-4EF8-B803-9DBD434C82C4}">
    <text>ワンアンドオンリー（１名）</text>
  </threadedComment>
  <threadedComment ref="R8" dT="2025-08-22T01:11:39.66" personId="{46EF02C0-BDD8-4EC5-8685-CED22651C722}" id="{4464508A-A9AF-4987-AFC7-277ADE2E2D46}">
    <text>北海プロテック</text>
  </threadedComment>
  <threadedComment ref="I9" dT="2025-07-11T02:36:38.52" personId="{46EF02C0-BDD8-4EC5-8685-CED22651C722}" id="{027C274F-36CD-4FB7-B9E8-B9E4620C6607}">
    <text>イブレス（１名特定技能）</text>
  </threadedComment>
  <threadedComment ref="L11" dT="2025-07-11T02:33:55.87" personId="{46EF02C0-BDD8-4EC5-8685-CED22651C722}" id="{EAD0F63D-AD64-45C0-8652-AC712D79FA05}">
    <text>イブレス１名、　OBIKE３名</text>
  </threadedComment>
</ThreadedComments>
</file>

<file path=xl/threadedComments/threadedComment5.xml><?xml version="1.0" encoding="utf-8"?>
<ThreadedComments xmlns="http://schemas.microsoft.com/office/spreadsheetml/2018/threadedcomments" xmlns:x="http://schemas.openxmlformats.org/spreadsheetml/2006/main">
  <threadedComment ref="F8" dT="2025-07-11T02:32:33.79" personId="{46EF02C0-BDD8-4EC5-8685-CED22651C722}" id="{6B92B069-DC71-4153-B781-465F9B078A73}">
    <text>ワンアンドオンリー（高度人材・１名）</text>
  </threadedComment>
  <threadedComment ref="L8" dT="2025-07-11T02:30:41.89" personId="{46EF02C0-BDD8-4EC5-8685-CED22651C722}" id="{74BF7A44-18DD-4F1D-9194-67F1B884E908}">
    <text>ワンアンドオンリー（１名）</text>
  </threadedComment>
  <threadedComment ref="R8" dT="2025-08-22T01:11:39.66" personId="{46EF02C0-BDD8-4EC5-8685-CED22651C722}" id="{11713EAF-134E-4CF1-8115-85E195082D5E}">
    <text>北海プロテック</text>
  </threadedComment>
  <threadedComment ref="I9" dT="2025-07-11T02:36:38.52" personId="{46EF02C0-BDD8-4EC5-8685-CED22651C722}" id="{2020759C-275C-43A8-BF2A-187402154A3B}">
    <text>イブレス（１名特定技能）</text>
  </threadedComment>
  <threadedComment ref="L11" dT="2025-07-11T02:33:55.87" personId="{46EF02C0-BDD8-4EC5-8685-CED22651C722}" id="{090E0B4E-E70B-438F-B158-15694E86A868}">
    <text>イブレス１名、　OBIKE３名</text>
  </threadedComment>
</ThreadedComments>
</file>

<file path=xl/threadedComments/threadedComment6.xml><?xml version="1.0" encoding="utf-8"?>
<ThreadedComments xmlns="http://schemas.microsoft.com/office/spreadsheetml/2018/threadedcomments" xmlns:x="http://schemas.openxmlformats.org/spreadsheetml/2006/main">
  <threadedComment ref="F8" dT="2025-07-11T02:32:33.79" personId="{46EF02C0-BDD8-4EC5-8685-CED22651C722}" id="{78E89B90-95B1-441F-AFA8-42661ADB5F80}">
    <text>ワンアンドオンリー（高度人材・１名）</text>
  </threadedComment>
  <threadedComment ref="L8" dT="2025-07-11T02:30:41.89" personId="{46EF02C0-BDD8-4EC5-8685-CED22651C722}" id="{841AA8B4-9621-4EB4-92BF-E668B142B801}">
    <text>ワンアンドオンリー（１名）</text>
  </threadedComment>
  <threadedComment ref="R8" dT="2025-08-22T01:11:39.66" personId="{46EF02C0-BDD8-4EC5-8685-CED22651C722}" id="{477E6DEE-D974-4AF0-B75F-F10B63691DAE}">
    <text>北海プロテック</text>
  </threadedComment>
  <threadedComment ref="I9" dT="2025-07-11T02:36:38.52" personId="{46EF02C0-BDD8-4EC5-8685-CED22651C722}" id="{A3233A16-6FC1-4744-BE50-88EC8168B064}">
    <text>イブレス（１名特定技能）</text>
  </threadedComment>
  <threadedComment ref="L11" dT="2025-07-11T02:33:55.87" personId="{46EF02C0-BDD8-4EC5-8685-CED22651C722}" id="{791FF8FA-9DAE-4014-8CE4-D1EEDACFA920}">
    <text>イブレス１名、　OBIKE３名</text>
  </threadedComment>
</ThreadedComments>
</file>

<file path=xl/threadedComments/threadedComment7.xml><?xml version="1.0" encoding="utf-8"?>
<ThreadedComments xmlns="http://schemas.microsoft.com/office/spreadsheetml/2018/threadedcomments" xmlns:x="http://schemas.openxmlformats.org/spreadsheetml/2006/main">
  <threadedComment ref="F8" dT="2025-07-11T02:32:33.79" personId="{46EF02C0-BDD8-4EC5-8685-CED22651C722}" id="{E579FA4B-B048-4C9A-9442-AC5C25E93057}">
    <text>ワンアンドオンリー（高度人材・１名）</text>
  </threadedComment>
  <threadedComment ref="L8" dT="2025-07-11T02:30:41.89" personId="{46EF02C0-BDD8-4EC5-8685-CED22651C722}" id="{0C513059-B346-4475-A57E-6599968CACBB}">
    <text>ワンアンドオンリー（１名）</text>
  </threadedComment>
  <threadedComment ref="I9" dT="2025-07-11T02:36:38.52" personId="{46EF02C0-BDD8-4EC5-8685-CED22651C722}" id="{7F59AD61-EC0F-49C0-8B86-9C1C5C441C8B}">
    <text>イブレス（１名特定技能）</text>
  </threadedComment>
  <threadedComment ref="L11" dT="2025-07-11T02:33:55.87" personId="{46EF02C0-BDD8-4EC5-8685-CED22651C722}" id="{68AFD81B-5BD4-4C0D-A3E0-63F6351C3E8B}">
    <text>イブレス１名、　OBIKE３名</text>
  </threadedComment>
</ThreadedComments>
</file>

<file path=xl/threadedComments/threadedComment8.xml><?xml version="1.0" encoding="utf-8"?>
<ThreadedComments xmlns="http://schemas.microsoft.com/office/spreadsheetml/2018/threadedcomments" xmlns:x="http://schemas.openxmlformats.org/spreadsheetml/2006/main">
  <threadedComment ref="F8" dT="2025-07-11T02:32:33.79" personId="{46EF02C0-BDD8-4EC5-8685-CED22651C722}" id="{6A004758-0628-4713-9274-06C4077C35D2}">
    <text>ワンアンドオンリー（１名）</text>
  </threadedComment>
  <threadedComment ref="L8" dT="2025-07-11T02:30:41.89" personId="{46EF02C0-BDD8-4EC5-8685-CED22651C722}" id="{ABA3D666-AC1B-4186-9706-20DD25980C30}">
    <text>ワンアンドオンリー（１名）</text>
  </threadedComment>
  <threadedComment ref="I9" dT="2025-07-11T02:36:38.52" personId="{46EF02C0-BDD8-4EC5-8685-CED22651C722}" id="{0B1C78FC-C2D6-4318-A79F-C14F6F2B92D5}">
    <text>イブレス（１特定技能）</text>
  </threadedComment>
  <threadedComment ref="L11" dT="2025-07-11T02:33:55.87" personId="{46EF02C0-BDD8-4EC5-8685-CED22651C722}" id="{89C03AF4-8C3B-470D-81D9-96B4D71F6B73}">
    <text>イブレス１名、　OBIKE３名</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 Id="rId4" Type="http://schemas.microsoft.com/office/2017/10/relationships/threadedComment" Target="../threadedComments/threadedComment1.xml"/></Relationships>
</file>

<file path=xl/worksheets/_rels/sheet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3.bin"/><Relationship Id="rId4" Type="http://schemas.microsoft.com/office/2017/10/relationships/threadedComment" Target="../threadedComments/threadedComment2.xml"/></Relationships>
</file>

<file path=xl/worksheets/_rels/sheet4.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4.bin"/><Relationship Id="rId4" Type="http://schemas.microsoft.com/office/2017/10/relationships/threadedComment" Target="../threadedComments/threadedComment3.xml"/></Relationships>
</file>

<file path=xl/worksheets/_rels/sheet5.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5.bin"/><Relationship Id="rId4" Type="http://schemas.microsoft.com/office/2017/10/relationships/threadedComment" Target="../threadedComments/threadedComment4.xml"/></Relationships>
</file>

<file path=xl/worksheets/_rels/sheet6.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6.bin"/><Relationship Id="rId4" Type="http://schemas.microsoft.com/office/2017/10/relationships/threadedComment" Target="../threadedComments/threadedComment5.xml"/></Relationships>
</file>

<file path=xl/worksheets/_rels/sheet7.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7.bin"/><Relationship Id="rId4" Type="http://schemas.microsoft.com/office/2017/10/relationships/threadedComment" Target="../threadedComments/threadedComment6.xml"/></Relationships>
</file>

<file path=xl/worksheets/_rels/sheet8.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printerSettings" Target="../printerSettings/printerSettings8.bin"/><Relationship Id="rId4" Type="http://schemas.microsoft.com/office/2017/10/relationships/threadedComment" Target="../threadedComments/threadedComment7.xml"/></Relationships>
</file>

<file path=xl/worksheets/_rels/sheet9.xml.rels><?xml version="1.0" encoding="UTF-8" standalone="yes"?>
<Relationships xmlns="http://schemas.openxmlformats.org/package/2006/relationships"><Relationship Id="rId3" Type="http://schemas.openxmlformats.org/officeDocument/2006/relationships/comments" Target="../comments8.xml"/><Relationship Id="rId2" Type="http://schemas.openxmlformats.org/officeDocument/2006/relationships/vmlDrawing" Target="../drawings/vmlDrawing8.vml"/><Relationship Id="rId1" Type="http://schemas.openxmlformats.org/officeDocument/2006/relationships/printerSettings" Target="../printerSettings/printerSettings9.bin"/><Relationship Id="rId4" Type="http://schemas.microsoft.com/office/2017/10/relationships/threadedComment" Target="../threadedComments/threadedComment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F9F447-BEBB-409B-AF00-DCC433E9CE8D}">
  <sheetPr>
    <tabColor rgb="FFFFFF00"/>
  </sheetPr>
  <dimension ref="B6:K27"/>
  <sheetViews>
    <sheetView topLeftCell="A11" zoomScale="95" workbookViewId="0">
      <selection activeCell="H21" sqref="H21"/>
    </sheetView>
  </sheetViews>
  <sheetFormatPr defaultRowHeight="14.25"/>
  <cols>
    <col min="2" max="2" width="11.06640625" customWidth="1"/>
    <col min="4" max="11" width="15.59765625" customWidth="1"/>
  </cols>
  <sheetData>
    <row r="6" spans="2:11">
      <c r="D6" s="1"/>
    </row>
    <row r="7" spans="2:11">
      <c r="D7" s="1"/>
    </row>
    <row r="8" spans="2:11">
      <c r="I8" s="2"/>
    </row>
    <row r="9" spans="2:11">
      <c r="B9" s="3"/>
      <c r="C9" s="3"/>
      <c r="D9" s="3">
        <v>1</v>
      </c>
      <c r="E9" s="3">
        <v>2</v>
      </c>
      <c r="F9" s="3">
        <v>3</v>
      </c>
      <c r="G9" s="3">
        <v>4</v>
      </c>
      <c r="H9" s="4">
        <v>5</v>
      </c>
      <c r="I9" s="5">
        <v>6</v>
      </c>
      <c r="J9" s="3">
        <v>7</v>
      </c>
      <c r="K9" s="3">
        <v>8</v>
      </c>
    </row>
    <row r="10" spans="2:11">
      <c r="B10" s="3"/>
      <c r="C10" s="3"/>
      <c r="D10" s="3" t="s">
        <v>19</v>
      </c>
      <c r="E10" s="3" t="s">
        <v>20</v>
      </c>
      <c r="F10" s="3" t="s">
        <v>21</v>
      </c>
      <c r="G10" s="3" t="s">
        <v>22</v>
      </c>
      <c r="H10" s="4" t="s">
        <v>23</v>
      </c>
      <c r="I10" s="5" t="s">
        <v>24</v>
      </c>
      <c r="J10" s="3" t="s">
        <v>25</v>
      </c>
      <c r="K10" s="3" t="s">
        <v>25</v>
      </c>
    </row>
    <row r="11" spans="2:11">
      <c r="B11" s="3" t="s">
        <v>26</v>
      </c>
      <c r="C11" s="3"/>
      <c r="D11" s="3">
        <v>24</v>
      </c>
      <c r="E11" s="3">
        <v>25</v>
      </c>
      <c r="F11" s="3">
        <v>26</v>
      </c>
      <c r="G11" s="3">
        <v>27</v>
      </c>
      <c r="H11" s="4">
        <v>28</v>
      </c>
      <c r="I11" s="5">
        <v>29</v>
      </c>
      <c r="J11" s="3">
        <v>30</v>
      </c>
      <c r="K11" s="3">
        <v>31</v>
      </c>
    </row>
    <row r="12" spans="2:11" s="10" customFormat="1">
      <c r="B12" s="6" t="s">
        <v>27</v>
      </c>
      <c r="C12" s="7"/>
      <c r="D12" s="7">
        <f t="shared" ref="D12:K12" si="0">D14+D16+D20+D22+D24+D26</f>
        <v>406500</v>
      </c>
      <c r="E12" s="7">
        <f t="shared" si="0"/>
        <v>443500</v>
      </c>
      <c r="F12" s="7">
        <f t="shared" si="0"/>
        <v>500500</v>
      </c>
      <c r="G12" s="7">
        <f t="shared" si="0"/>
        <v>558900</v>
      </c>
      <c r="H12" s="8">
        <f t="shared" si="0"/>
        <v>596500</v>
      </c>
      <c r="I12" s="9">
        <f t="shared" si="0"/>
        <v>634300</v>
      </c>
      <c r="J12" s="7">
        <f t="shared" si="0"/>
        <v>671300</v>
      </c>
      <c r="K12" s="7">
        <f t="shared" si="0"/>
        <v>708300</v>
      </c>
    </row>
    <row r="13" spans="2:11">
      <c r="B13" s="165" t="s">
        <v>28</v>
      </c>
      <c r="C13" s="11" t="s">
        <v>29</v>
      </c>
      <c r="D13" s="12">
        <f>D14/D12</f>
        <v>0.71070110701107014</v>
      </c>
      <c r="E13" s="12">
        <f t="shared" ref="E13:K13" si="1">E14/E12</f>
        <v>0.67846674182638111</v>
      </c>
      <c r="F13" s="12">
        <f t="shared" si="1"/>
        <v>0.62517482517482514</v>
      </c>
      <c r="G13" s="12">
        <f t="shared" si="1"/>
        <v>0.58132045088566831</v>
      </c>
      <c r="H13" s="13">
        <f t="shared" si="1"/>
        <v>0.56479463537300922</v>
      </c>
      <c r="I13" s="14">
        <f t="shared" si="1"/>
        <v>0.55005517893741129</v>
      </c>
      <c r="J13" s="12">
        <f t="shared" si="1"/>
        <v>0.53761358558021743</v>
      </c>
      <c r="K13" s="12">
        <f t="shared" si="1"/>
        <v>0.52647183396865738</v>
      </c>
    </row>
    <row r="14" spans="2:11" s="19" customFormat="1">
      <c r="B14" s="166"/>
      <c r="C14" s="15" t="s">
        <v>30</v>
      </c>
      <c r="D14" s="15">
        <v>288900</v>
      </c>
      <c r="E14" s="16">
        <f t="shared" ref="E14:K14" si="2">D14+12000</f>
        <v>300900</v>
      </c>
      <c r="F14" s="16">
        <f t="shared" si="2"/>
        <v>312900</v>
      </c>
      <c r="G14" s="15">
        <f t="shared" si="2"/>
        <v>324900</v>
      </c>
      <c r="H14" s="17">
        <f t="shared" si="2"/>
        <v>336900</v>
      </c>
      <c r="I14" s="18">
        <f t="shared" si="2"/>
        <v>348900</v>
      </c>
      <c r="J14" s="15">
        <f t="shared" si="2"/>
        <v>360900</v>
      </c>
      <c r="K14" s="15">
        <f t="shared" si="2"/>
        <v>372900</v>
      </c>
    </row>
    <row r="15" spans="2:11">
      <c r="B15" s="167" t="s">
        <v>31</v>
      </c>
      <c r="C15" s="20" t="s">
        <v>29</v>
      </c>
      <c r="D15" s="21">
        <f>D16/D12</f>
        <v>0.18474784747847478</v>
      </c>
      <c r="E15" s="21">
        <f t="shared" ref="E15:K15" si="3">E16/E12</f>
        <v>0.2234498308906426</v>
      </c>
      <c r="F15" s="21">
        <f t="shared" si="3"/>
        <v>0.24595404595404596</v>
      </c>
      <c r="G15" s="21">
        <f t="shared" si="3"/>
        <v>0.26319556271247091</v>
      </c>
      <c r="H15" s="22">
        <f t="shared" si="3"/>
        <v>0.28683989941324395</v>
      </c>
      <c r="I15" s="23">
        <f t="shared" si="3"/>
        <v>0.30758316254138418</v>
      </c>
      <c r="J15" s="21">
        <f t="shared" si="3"/>
        <v>0.32638164754953075</v>
      </c>
      <c r="K15" s="21">
        <f t="shared" si="3"/>
        <v>0.34321615134829875</v>
      </c>
    </row>
    <row r="16" spans="2:11" s="19" customFormat="1">
      <c r="B16" s="168"/>
      <c r="C16" s="170" t="s">
        <v>32</v>
      </c>
      <c r="D16" s="173">
        <v>75100</v>
      </c>
      <c r="E16" s="173">
        <f>75100+24000</f>
        <v>99100</v>
      </c>
      <c r="F16" s="161">
        <f t="shared" ref="F16:K16" si="4">E16+24000</f>
        <v>123100</v>
      </c>
      <c r="G16" s="161">
        <f t="shared" si="4"/>
        <v>147100</v>
      </c>
      <c r="H16" s="177">
        <f t="shared" si="4"/>
        <v>171100</v>
      </c>
      <c r="I16" s="158">
        <f t="shared" si="4"/>
        <v>195100</v>
      </c>
      <c r="J16" s="161">
        <f t="shared" si="4"/>
        <v>219100</v>
      </c>
      <c r="K16" s="161">
        <f t="shared" si="4"/>
        <v>243100</v>
      </c>
    </row>
    <row r="17" spans="2:11" s="19" customFormat="1">
      <c r="B17" s="168"/>
      <c r="C17" s="171"/>
      <c r="D17" s="173"/>
      <c r="E17" s="173"/>
      <c r="F17" s="162"/>
      <c r="G17" s="162"/>
      <c r="H17" s="178"/>
      <c r="I17" s="159"/>
      <c r="J17" s="162"/>
      <c r="K17" s="162"/>
    </row>
    <row r="18" spans="2:11" s="19" customFormat="1">
      <c r="B18" s="169"/>
      <c r="C18" s="172"/>
      <c r="D18" s="173"/>
      <c r="E18" s="173"/>
      <c r="F18" s="163"/>
      <c r="G18" s="163"/>
      <c r="H18" s="179"/>
      <c r="I18" s="160"/>
      <c r="J18" s="163"/>
      <c r="K18" s="163"/>
    </row>
    <row r="19" spans="2:11">
      <c r="B19" s="164" t="s">
        <v>33</v>
      </c>
      <c r="C19" s="24" t="s">
        <v>29</v>
      </c>
      <c r="D19" s="25">
        <f>D20/D12</f>
        <v>8.9790897908979095E-2</v>
      </c>
      <c r="E19" s="25">
        <f t="shared" ref="E19:K19" si="5">E20/E12</f>
        <v>8.2299887260428417E-2</v>
      </c>
      <c r="F19" s="25">
        <f t="shared" si="5"/>
        <v>0.11288711288711288</v>
      </c>
      <c r="G19" s="25">
        <f t="shared" si="5"/>
        <v>0.13419216317767044</v>
      </c>
      <c r="H19" s="26">
        <f t="shared" si="5"/>
        <v>0.12573344509639564</v>
      </c>
      <c r="I19" s="27">
        <f t="shared" si="5"/>
        <v>0.11824058016711335</v>
      </c>
      <c r="J19" s="25">
        <f t="shared" si="5"/>
        <v>0.11172352152539848</v>
      </c>
      <c r="K19" s="25">
        <f t="shared" si="5"/>
        <v>0.1058873358746294</v>
      </c>
    </row>
    <row r="20" spans="2:11" s="19" customFormat="1">
      <c r="B20" s="164"/>
      <c r="C20" s="28" t="s">
        <v>30</v>
      </c>
      <c r="D20" s="29">
        <v>36500</v>
      </c>
      <c r="E20" s="29">
        <v>36500</v>
      </c>
      <c r="F20" s="29">
        <v>56500</v>
      </c>
      <c r="G20" s="29">
        <v>75000</v>
      </c>
      <c r="H20" s="29">
        <v>75000</v>
      </c>
      <c r="I20" s="30">
        <v>75000</v>
      </c>
      <c r="J20" s="29">
        <v>75000</v>
      </c>
      <c r="K20" s="29">
        <v>75000</v>
      </c>
    </row>
    <row r="21" spans="2:11">
      <c r="B21" s="174" t="s">
        <v>34</v>
      </c>
      <c r="C21" s="31" t="s">
        <v>29</v>
      </c>
      <c r="D21" s="32">
        <f>D22/D12</f>
        <v>4.9200492004920051E-3</v>
      </c>
      <c r="E21" s="32">
        <f t="shared" ref="E21:K21" si="6">E22/E12</f>
        <v>6.7643742953776773E-3</v>
      </c>
      <c r="F21" s="32">
        <f t="shared" si="6"/>
        <v>7.992007992007992E-3</v>
      </c>
      <c r="G21" s="32">
        <f t="shared" si="6"/>
        <v>8.9461442118446942E-3</v>
      </c>
      <c r="H21" s="33">
        <f t="shared" si="6"/>
        <v>1.0058675607711651E-2</v>
      </c>
      <c r="I21" s="34">
        <f t="shared" si="6"/>
        <v>1.1035787482263913E-2</v>
      </c>
      <c r="J21" s="32">
        <f t="shared" si="6"/>
        <v>1.1917175629375838E-2</v>
      </c>
      <c r="K21" s="32">
        <f t="shared" si="6"/>
        <v>1.2706480304955527E-2</v>
      </c>
    </row>
    <row r="22" spans="2:11" s="19" customFormat="1">
      <c r="B22" s="174"/>
      <c r="C22" s="35" t="s">
        <v>30</v>
      </c>
      <c r="D22" s="35">
        <v>2000</v>
      </c>
      <c r="E22" s="16">
        <v>3000</v>
      </c>
      <c r="F22" s="16">
        <v>4000</v>
      </c>
      <c r="G22" s="35">
        <v>5000</v>
      </c>
      <c r="H22" s="36">
        <v>6000</v>
      </c>
      <c r="I22" s="37">
        <v>7000</v>
      </c>
      <c r="J22" s="35">
        <v>8000</v>
      </c>
      <c r="K22" s="35">
        <v>9000</v>
      </c>
    </row>
    <row r="23" spans="2:11">
      <c r="B23" s="175" t="s">
        <v>35</v>
      </c>
      <c r="C23" s="38" t="s">
        <v>29</v>
      </c>
      <c r="D23" s="39">
        <f>D24/D12</f>
        <v>9.8400984009840101E-3</v>
      </c>
      <c r="E23" s="39">
        <f t="shared" ref="E23:K23" si="7">E24/E12</f>
        <v>9.0191657271702363E-3</v>
      </c>
      <c r="F23" s="39">
        <f t="shared" si="7"/>
        <v>7.992007992007992E-3</v>
      </c>
      <c r="G23" s="39">
        <f t="shared" si="7"/>
        <v>7.1569153694757562E-3</v>
      </c>
      <c r="H23" s="40">
        <f t="shared" si="7"/>
        <v>6.7057837384744343E-3</v>
      </c>
      <c r="I23" s="41">
        <f t="shared" si="7"/>
        <v>6.3061642755793791E-3</v>
      </c>
      <c r="J23" s="39">
        <f t="shared" si="7"/>
        <v>5.9585878146879191E-3</v>
      </c>
      <c r="K23" s="39">
        <f t="shared" si="7"/>
        <v>5.6473245799802344E-3</v>
      </c>
    </row>
    <row r="24" spans="2:11" s="19" customFormat="1">
      <c r="B24" s="175"/>
      <c r="C24" s="42" t="s">
        <v>30</v>
      </c>
      <c r="D24" s="42">
        <v>4000</v>
      </c>
      <c r="E24" s="42">
        <v>4000</v>
      </c>
      <c r="F24" s="42">
        <v>4000</v>
      </c>
      <c r="G24" s="42">
        <v>4000</v>
      </c>
      <c r="H24" s="43">
        <v>4000</v>
      </c>
      <c r="I24" s="44">
        <v>4000</v>
      </c>
      <c r="J24" s="42">
        <v>4000</v>
      </c>
      <c r="K24" s="42">
        <v>4000</v>
      </c>
    </row>
    <row r="25" spans="2:11" s="19" customFormat="1">
      <c r="B25" s="176" t="s">
        <v>36</v>
      </c>
      <c r="C25" s="45" t="s">
        <v>29</v>
      </c>
      <c r="D25" s="46">
        <f>D26/D12</f>
        <v>0</v>
      </c>
      <c r="E25" s="46">
        <f t="shared" ref="E25:K25" si="8">E26/E12</f>
        <v>0</v>
      </c>
      <c r="F25" s="46">
        <f t="shared" si="8"/>
        <v>0</v>
      </c>
      <c r="G25" s="46">
        <f>G26/G12</f>
        <v>5.188763642869923E-3</v>
      </c>
      <c r="H25" s="47">
        <f t="shared" si="8"/>
        <v>5.86756077116513E-3</v>
      </c>
      <c r="I25" s="48">
        <f t="shared" si="8"/>
        <v>6.7791265962478323E-3</v>
      </c>
      <c r="J25" s="46">
        <f t="shared" si="8"/>
        <v>6.4054819007895126E-3</v>
      </c>
      <c r="K25" s="46">
        <f t="shared" si="8"/>
        <v>6.0708739234787519E-3</v>
      </c>
    </row>
    <row r="26" spans="2:11" s="19" customFormat="1">
      <c r="B26" s="176"/>
      <c r="C26" s="49" t="s">
        <v>30</v>
      </c>
      <c r="D26" s="49">
        <v>0</v>
      </c>
      <c r="E26" s="49"/>
      <c r="F26" s="49"/>
      <c r="G26" s="49">
        <v>2900</v>
      </c>
      <c r="H26" s="50">
        <v>3500</v>
      </c>
      <c r="I26" s="51">
        <v>4300</v>
      </c>
      <c r="J26" s="49">
        <v>4300</v>
      </c>
      <c r="K26" s="49">
        <v>4300</v>
      </c>
    </row>
    <row r="27" spans="2:11">
      <c r="D27" s="52">
        <f>D23+D21+D19+D15+D13+D25</f>
        <v>1</v>
      </c>
      <c r="E27" s="52">
        <f t="shared" ref="E27:K27" si="9">E23+E21+E19+E15+E13+E25</f>
        <v>1</v>
      </c>
      <c r="F27" s="52">
        <f t="shared" si="9"/>
        <v>1</v>
      </c>
      <c r="G27" s="52">
        <f t="shared" si="9"/>
        <v>1</v>
      </c>
      <c r="H27" s="52">
        <f t="shared" si="9"/>
        <v>1</v>
      </c>
      <c r="I27" s="53">
        <f t="shared" si="9"/>
        <v>0.99999999999999989</v>
      </c>
      <c r="J27" s="52">
        <f t="shared" si="9"/>
        <v>0.99999999999999989</v>
      </c>
      <c r="K27" s="52">
        <f t="shared" si="9"/>
        <v>1</v>
      </c>
    </row>
  </sheetData>
  <mergeCells count="15">
    <mergeCell ref="B21:B22"/>
    <mergeCell ref="B23:B24"/>
    <mergeCell ref="B25:B26"/>
    <mergeCell ref="G16:G18"/>
    <mergeCell ref="H16:H18"/>
    <mergeCell ref="I16:I18"/>
    <mergeCell ref="J16:J18"/>
    <mergeCell ref="K16:K18"/>
    <mergeCell ref="B19:B20"/>
    <mergeCell ref="B13:B14"/>
    <mergeCell ref="B15:B18"/>
    <mergeCell ref="C16:C18"/>
    <mergeCell ref="D16:D18"/>
    <mergeCell ref="E16:E18"/>
    <mergeCell ref="F16:F18"/>
  </mergeCells>
  <phoneticPr fontId="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0B2434-EF69-4C21-BE95-B8EA53AE5A22}">
  <sheetPr>
    <tabColor rgb="FF7030A0"/>
    <pageSetUpPr fitToPage="1"/>
  </sheetPr>
  <dimension ref="A1:BG33"/>
  <sheetViews>
    <sheetView showGridLines="0" tabSelected="1" view="pageBreakPreview" topLeftCell="B1" zoomScaleNormal="100" zoomScaleSheetLayoutView="100" zoomScalePageLayoutView="80" workbookViewId="0">
      <pane xSplit="3" ySplit="6" topLeftCell="AR13" activePane="bottomRight" state="frozen"/>
      <selection activeCell="B1" sqref="B1"/>
      <selection pane="topRight" activeCell="E1" sqref="E1"/>
      <selection pane="bottomLeft" activeCell="B6" sqref="B6"/>
      <selection pane="bottomRight" activeCell="AX18" sqref="AX18"/>
    </sheetView>
  </sheetViews>
  <sheetFormatPr defaultColWidth="9" defaultRowHeight="20.25" customHeight="1" outlineLevelRow="1"/>
  <cols>
    <col min="1" max="1" width="9" style="54"/>
    <col min="2" max="2" width="20.59765625" style="55" customWidth="1"/>
    <col min="3" max="3" width="10.3984375" style="56" customWidth="1"/>
    <col min="4" max="4" width="20.59765625" style="56" hidden="1" customWidth="1"/>
    <col min="5" max="8" width="18.265625" style="57" customWidth="1"/>
    <col min="9" max="9" width="20.46484375" style="57" customWidth="1"/>
    <col min="10" max="22" width="18.265625" style="57" customWidth="1"/>
    <col min="23" max="23" width="23.33203125" style="57" bestFit="1" customWidth="1"/>
    <col min="24" max="24" width="20.9296875" style="57" customWidth="1"/>
    <col min="25" max="27" width="18.265625" style="57" customWidth="1"/>
    <col min="28" max="28" width="21.06640625" style="57" customWidth="1"/>
    <col min="29" max="30" width="18.265625" style="57" customWidth="1"/>
    <col min="31" max="31" width="19.59765625" style="57" customWidth="1"/>
    <col min="32" max="43" width="18.265625" style="57" customWidth="1"/>
    <col min="44" max="44" width="23.33203125" style="57" bestFit="1" customWidth="1"/>
    <col min="45" max="46" width="18.265625" style="57" customWidth="1"/>
    <col min="47" max="47" width="23.33203125" style="57" bestFit="1" customWidth="1"/>
    <col min="48" max="48" width="21.06640625" style="57" customWidth="1"/>
    <col min="49" max="49" width="18.265625" style="66" customWidth="1"/>
    <col min="50" max="51" width="10.06640625" style="58" customWidth="1"/>
    <col min="52" max="52" width="12.33203125" style="58" customWidth="1"/>
    <col min="53" max="53" width="2.33203125" style="58" customWidth="1"/>
    <col min="54" max="58" width="9" style="59"/>
    <col min="59" max="59" width="25.796875" style="59" customWidth="1"/>
    <col min="60" max="16384" width="9" style="59"/>
  </cols>
  <sheetData>
    <row r="1" spans="1:53" ht="20.25" customHeight="1">
      <c r="AW1" s="57"/>
    </row>
    <row r="2" spans="1:53" s="63" customFormat="1" ht="37.5" customHeight="1">
      <c r="A2" s="180" t="s">
        <v>39</v>
      </c>
      <c r="B2" s="180"/>
      <c r="C2" s="180"/>
      <c r="D2" s="180"/>
      <c r="E2" s="60"/>
      <c r="F2" s="60"/>
      <c r="G2" s="60"/>
      <c r="H2" s="60"/>
      <c r="I2" s="60"/>
      <c r="J2" s="60"/>
      <c r="K2" s="60"/>
      <c r="L2" s="60"/>
      <c r="M2" s="60"/>
      <c r="N2" s="60"/>
      <c r="O2" s="60"/>
      <c r="P2" s="60"/>
      <c r="Q2" s="60"/>
      <c r="R2" s="60"/>
      <c r="S2" s="60"/>
      <c r="T2" s="60"/>
      <c r="U2" s="60"/>
      <c r="V2" s="60"/>
      <c r="W2" s="60"/>
      <c r="X2" s="60"/>
      <c r="Y2" s="60"/>
      <c r="Z2" s="60"/>
      <c r="AA2" s="60"/>
      <c r="AB2" s="60"/>
      <c r="AC2" s="60"/>
      <c r="AD2" s="60"/>
      <c r="AE2" s="60"/>
      <c r="AF2" s="60"/>
      <c r="AG2" s="60"/>
      <c r="AH2" s="60"/>
      <c r="AI2" s="60"/>
      <c r="AJ2" s="60"/>
      <c r="AK2" s="60"/>
      <c r="AL2" s="60"/>
      <c r="AM2" s="60"/>
      <c r="AN2" s="60"/>
      <c r="AO2" s="60"/>
      <c r="AP2" s="60"/>
      <c r="AQ2" s="60"/>
      <c r="AR2" s="60"/>
      <c r="AS2" s="60"/>
      <c r="AT2" s="60"/>
      <c r="AU2" s="60"/>
      <c r="AV2" s="60"/>
      <c r="AW2" s="60"/>
      <c r="AX2" s="61"/>
      <c r="AY2" s="181"/>
      <c r="AZ2" s="182"/>
      <c r="BA2" s="62"/>
    </row>
    <row r="3" spans="1:53" s="63" customFormat="1" ht="36" customHeight="1" thickBot="1">
      <c r="A3" s="64"/>
      <c r="B3" s="183" t="s">
        <v>59</v>
      </c>
      <c r="C3" s="183"/>
      <c r="D3" s="183"/>
      <c r="E3" s="60"/>
      <c r="F3" s="60"/>
      <c r="G3" s="60"/>
      <c r="H3" s="60"/>
      <c r="I3" s="60"/>
      <c r="J3" s="60"/>
      <c r="K3" s="60"/>
      <c r="L3" s="124"/>
      <c r="M3" s="60"/>
      <c r="N3" s="60"/>
      <c r="O3" s="60"/>
      <c r="P3" s="60"/>
      <c r="Q3" s="60"/>
      <c r="R3" s="60"/>
      <c r="S3" s="60"/>
      <c r="T3" s="60"/>
      <c r="U3" s="60"/>
      <c r="V3" s="60"/>
      <c r="W3" s="60"/>
      <c r="X3" s="60"/>
      <c r="Y3" s="60"/>
      <c r="Z3" s="60"/>
      <c r="AA3" s="60"/>
      <c r="AB3" s="60"/>
      <c r="AC3" s="60"/>
      <c r="AD3" s="60"/>
      <c r="AE3" s="60"/>
      <c r="AF3" s="60"/>
      <c r="AG3" s="60"/>
      <c r="AH3" s="60"/>
      <c r="AI3" s="60"/>
      <c r="AJ3" s="60"/>
      <c r="AK3" s="60"/>
      <c r="AL3" s="60"/>
      <c r="AM3" s="60"/>
      <c r="AN3" s="60"/>
      <c r="AO3" s="60"/>
      <c r="AP3" s="60"/>
      <c r="AQ3" s="60"/>
      <c r="AR3" s="60"/>
      <c r="AS3" s="60"/>
      <c r="AT3" s="60"/>
      <c r="AU3" s="60"/>
      <c r="AV3" s="60"/>
      <c r="AW3" s="60" t="s">
        <v>46</v>
      </c>
      <c r="AX3" s="184"/>
      <c r="AY3" s="184"/>
    </row>
    <row r="4" spans="1:53" ht="40.049999999999997" customHeight="1">
      <c r="B4" s="185"/>
      <c r="C4" s="186"/>
      <c r="D4" s="187"/>
      <c r="E4" s="188" t="s">
        <v>14</v>
      </c>
      <c r="F4" s="189"/>
      <c r="G4" s="190"/>
      <c r="H4" s="188" t="s">
        <v>13</v>
      </c>
      <c r="I4" s="189"/>
      <c r="J4" s="190"/>
      <c r="K4" s="188" t="s">
        <v>12</v>
      </c>
      <c r="L4" s="189"/>
      <c r="M4" s="190"/>
      <c r="N4" s="188" t="s">
        <v>11</v>
      </c>
      <c r="O4" s="189"/>
      <c r="P4" s="190"/>
      <c r="Q4" s="188" t="s">
        <v>10</v>
      </c>
      <c r="R4" s="189"/>
      <c r="S4" s="190"/>
      <c r="T4" s="188" t="s">
        <v>9</v>
      </c>
      <c r="U4" s="189"/>
      <c r="V4" s="190"/>
      <c r="W4" s="192" t="s">
        <v>43</v>
      </c>
      <c r="X4" s="193"/>
      <c r="Y4" s="194"/>
      <c r="Z4" s="198" t="s">
        <v>6</v>
      </c>
      <c r="AA4" s="199"/>
      <c r="AB4" s="200"/>
      <c r="AC4" s="188" t="s">
        <v>50</v>
      </c>
      <c r="AD4" s="189"/>
      <c r="AE4" s="190"/>
      <c r="AF4" s="188" t="s">
        <v>51</v>
      </c>
      <c r="AG4" s="189"/>
      <c r="AH4" s="190"/>
      <c r="AI4" s="188" t="s">
        <v>52</v>
      </c>
      <c r="AJ4" s="189"/>
      <c r="AK4" s="190"/>
      <c r="AL4" s="188" t="s">
        <v>53</v>
      </c>
      <c r="AM4" s="189"/>
      <c r="AN4" s="190"/>
      <c r="AO4" s="188" t="s">
        <v>54</v>
      </c>
      <c r="AP4" s="189"/>
      <c r="AQ4" s="190"/>
      <c r="AR4" s="192" t="s">
        <v>44</v>
      </c>
      <c r="AS4" s="193"/>
      <c r="AT4" s="194"/>
      <c r="AU4" s="192" t="s">
        <v>45</v>
      </c>
      <c r="AV4" s="193"/>
      <c r="AW4" s="194"/>
      <c r="AX4" s="191"/>
      <c r="AY4" s="191"/>
      <c r="AZ4" s="65"/>
      <c r="BA4" s="65"/>
    </row>
    <row r="5" spans="1:53" ht="40.049999999999997" customHeight="1">
      <c r="B5" s="210"/>
      <c r="C5" s="189"/>
      <c r="D5" s="190"/>
      <c r="E5" s="97" t="s">
        <v>47</v>
      </c>
      <c r="F5" s="98" t="s">
        <v>48</v>
      </c>
      <c r="G5" s="99" t="s">
        <v>49</v>
      </c>
      <c r="H5" s="97" t="s">
        <v>47</v>
      </c>
      <c r="I5" s="98" t="s">
        <v>48</v>
      </c>
      <c r="J5" s="99" t="s">
        <v>49</v>
      </c>
      <c r="K5" s="97" t="s">
        <v>47</v>
      </c>
      <c r="L5" s="98" t="s">
        <v>48</v>
      </c>
      <c r="M5" s="99" t="s">
        <v>49</v>
      </c>
      <c r="N5" s="97" t="s">
        <v>47</v>
      </c>
      <c r="O5" s="98" t="s">
        <v>48</v>
      </c>
      <c r="P5" s="99" t="s">
        <v>49</v>
      </c>
      <c r="Q5" s="97" t="s">
        <v>47</v>
      </c>
      <c r="R5" s="98" t="s">
        <v>48</v>
      </c>
      <c r="S5" s="99" t="s">
        <v>49</v>
      </c>
      <c r="T5" s="97" t="s">
        <v>47</v>
      </c>
      <c r="U5" s="98" t="s">
        <v>48</v>
      </c>
      <c r="V5" s="99" t="s">
        <v>49</v>
      </c>
      <c r="W5" s="97" t="s">
        <v>47</v>
      </c>
      <c r="X5" s="98" t="s">
        <v>48</v>
      </c>
      <c r="Y5" s="99" t="s">
        <v>49</v>
      </c>
      <c r="Z5" s="97" t="s">
        <v>47</v>
      </c>
      <c r="AA5" s="98" t="s">
        <v>48</v>
      </c>
      <c r="AB5" s="99" t="s">
        <v>49</v>
      </c>
      <c r="AC5" s="97" t="s">
        <v>47</v>
      </c>
      <c r="AD5" s="98" t="s">
        <v>48</v>
      </c>
      <c r="AE5" s="99" t="s">
        <v>49</v>
      </c>
      <c r="AF5" s="97" t="s">
        <v>47</v>
      </c>
      <c r="AG5" s="98" t="s">
        <v>48</v>
      </c>
      <c r="AH5" s="99" t="s">
        <v>49</v>
      </c>
      <c r="AI5" s="97" t="s">
        <v>47</v>
      </c>
      <c r="AJ5" s="98" t="s">
        <v>48</v>
      </c>
      <c r="AK5" s="99" t="s">
        <v>49</v>
      </c>
      <c r="AL5" s="97" t="s">
        <v>47</v>
      </c>
      <c r="AM5" s="98" t="s">
        <v>48</v>
      </c>
      <c r="AN5" s="99" t="s">
        <v>49</v>
      </c>
      <c r="AO5" s="97" t="s">
        <v>47</v>
      </c>
      <c r="AP5" s="98" t="s">
        <v>48</v>
      </c>
      <c r="AQ5" s="99" t="s">
        <v>49</v>
      </c>
      <c r="AR5" s="97" t="s">
        <v>47</v>
      </c>
      <c r="AS5" s="98" t="s">
        <v>48</v>
      </c>
      <c r="AT5" s="99" t="s">
        <v>49</v>
      </c>
      <c r="AU5" s="97" t="s">
        <v>47</v>
      </c>
      <c r="AV5" s="98" t="s">
        <v>48</v>
      </c>
      <c r="AW5" s="99" t="s">
        <v>49</v>
      </c>
      <c r="AX5" s="65"/>
      <c r="AY5" s="65"/>
      <c r="AZ5" s="65"/>
      <c r="BA5" s="65"/>
    </row>
    <row r="6" spans="1:53" ht="40.049999999999997" customHeight="1">
      <c r="B6" s="195" t="s">
        <v>18</v>
      </c>
      <c r="C6" s="196"/>
      <c r="D6" s="197"/>
      <c r="E6" s="136">
        <f>E11+E17+E24</f>
        <v>5600</v>
      </c>
      <c r="F6" s="136">
        <f>F11+F17+F24</f>
        <v>3738</v>
      </c>
      <c r="G6" s="137">
        <f>F6/E6</f>
        <v>0.66749999999999998</v>
      </c>
      <c r="H6" s="136">
        <f>H11+H17+H24</f>
        <v>6000</v>
      </c>
      <c r="I6" s="136">
        <f>I11+I17+I24</f>
        <v>5284</v>
      </c>
      <c r="J6" s="137">
        <f>I6/H6</f>
        <v>0.88066666666666671</v>
      </c>
      <c r="K6" s="136">
        <f>K11+K17+K24</f>
        <v>5600</v>
      </c>
      <c r="L6" s="136">
        <f>L11+L17+L24</f>
        <v>5502</v>
      </c>
      <c r="M6" s="137">
        <f>L6/K6</f>
        <v>0.98250000000000004</v>
      </c>
      <c r="N6" s="136">
        <f>N11+N17+N24</f>
        <v>6000</v>
      </c>
      <c r="O6" s="136">
        <f>O11+O17+O24</f>
        <v>3309</v>
      </c>
      <c r="P6" s="137">
        <f>O6/N6</f>
        <v>0.55149999999999999</v>
      </c>
      <c r="Q6" s="136">
        <f>Q11+Q17+Q24</f>
        <v>5600</v>
      </c>
      <c r="R6" s="136">
        <f>R11+R17+R24</f>
        <v>3925</v>
      </c>
      <c r="S6" s="138">
        <f>R6/Q6</f>
        <v>0.7008928571428571</v>
      </c>
      <c r="T6" s="136">
        <f>T11+T17+T24</f>
        <v>6000</v>
      </c>
      <c r="U6" s="136">
        <f>U11+U17+U24</f>
        <v>3797</v>
      </c>
      <c r="V6" s="139">
        <f>U6/T6</f>
        <v>0.63283333333333336</v>
      </c>
      <c r="W6" s="140">
        <f>W11+W17+W24</f>
        <v>34800</v>
      </c>
      <c r="X6" s="140">
        <f>X11+X17+X24</f>
        <v>25556</v>
      </c>
      <c r="Y6" s="141">
        <f>X6/W6</f>
        <v>0.73436781609195401</v>
      </c>
      <c r="Z6" s="142">
        <f>Z11+Z17+Z24</f>
        <v>6000</v>
      </c>
      <c r="AA6" s="142">
        <f>AA11+AA17+AA24</f>
        <v>3612</v>
      </c>
      <c r="AB6" s="141">
        <f>AA6/Z6</f>
        <v>0.60199999999999998</v>
      </c>
      <c r="AC6" s="135">
        <f>AC11+AC17+AC24</f>
        <v>6000</v>
      </c>
      <c r="AD6" s="135">
        <f>AD11+AD17+AD24</f>
        <v>4560</v>
      </c>
      <c r="AE6" s="141">
        <f>AD6/AC6</f>
        <v>0.76</v>
      </c>
      <c r="AF6" s="135">
        <f>AF11+AF17+AF24</f>
        <v>5600</v>
      </c>
      <c r="AG6" s="135">
        <f>AG11+AG17+AG24</f>
        <v>0</v>
      </c>
      <c r="AH6" s="141">
        <f>AG6/AF6</f>
        <v>0</v>
      </c>
      <c r="AI6" s="135">
        <f>AI11+AI17+AI24</f>
        <v>6000</v>
      </c>
      <c r="AJ6" s="135">
        <f>AJ11+AJ17+AJ24</f>
        <v>0</v>
      </c>
      <c r="AK6" s="141">
        <f>AJ6/AI6</f>
        <v>0</v>
      </c>
      <c r="AL6" s="135">
        <f>AL11+AL17+AL24</f>
        <v>5600</v>
      </c>
      <c r="AM6" s="135">
        <f>AM11+AM17+AM24</f>
        <v>0</v>
      </c>
      <c r="AN6" s="141">
        <f>AM6/AL6</f>
        <v>0</v>
      </c>
      <c r="AO6" s="135">
        <f>AO11+AO17+AO24</f>
        <v>6000</v>
      </c>
      <c r="AP6" s="135">
        <f>AP11+AP17+AP24</f>
        <v>0</v>
      </c>
      <c r="AQ6" s="141">
        <f>AP6/AO6</f>
        <v>0</v>
      </c>
      <c r="AR6" s="135">
        <f>AR11+AR17+AR24</f>
        <v>35950.833333333328</v>
      </c>
      <c r="AS6" s="135">
        <f>AS11+AS17+AS24</f>
        <v>8173</v>
      </c>
      <c r="AT6" s="141">
        <f>AS6/AR6</f>
        <v>0.22733826290535689</v>
      </c>
      <c r="AU6" s="135">
        <f>AU11+AU17+AU24</f>
        <v>70750.833333333328</v>
      </c>
      <c r="AV6" s="135">
        <f>AV11+AV17+AV24</f>
        <v>33728</v>
      </c>
      <c r="AW6" s="143">
        <f>AV6/AU6</f>
        <v>0.47671523303612445</v>
      </c>
      <c r="AX6" s="65"/>
      <c r="AY6" s="65"/>
      <c r="AZ6" s="65"/>
      <c r="BA6" s="65"/>
    </row>
    <row r="7" spans="1:53" ht="40.049999999999997" customHeight="1">
      <c r="B7" s="204" t="s">
        <v>8</v>
      </c>
      <c r="C7" s="205"/>
      <c r="D7" s="206"/>
      <c r="E7" s="128" t="s">
        <v>47</v>
      </c>
      <c r="F7" s="129" t="s">
        <v>48</v>
      </c>
      <c r="G7" s="130" t="s">
        <v>49</v>
      </c>
      <c r="H7" s="128" t="s">
        <v>47</v>
      </c>
      <c r="I7" s="129" t="s">
        <v>48</v>
      </c>
      <c r="J7" s="130" t="s">
        <v>49</v>
      </c>
      <c r="K7" s="128" t="s">
        <v>47</v>
      </c>
      <c r="L7" s="129" t="s">
        <v>48</v>
      </c>
      <c r="M7" s="130" t="s">
        <v>49</v>
      </c>
      <c r="N7" s="128" t="s">
        <v>47</v>
      </c>
      <c r="O7" s="129" t="s">
        <v>48</v>
      </c>
      <c r="P7" s="131" t="s">
        <v>49</v>
      </c>
      <c r="Q7" s="128" t="s">
        <v>47</v>
      </c>
      <c r="R7" s="129" t="s">
        <v>48</v>
      </c>
      <c r="S7" s="130" t="s">
        <v>49</v>
      </c>
      <c r="T7" s="128" t="s">
        <v>47</v>
      </c>
      <c r="U7" s="129" t="s">
        <v>48</v>
      </c>
      <c r="V7" s="130" t="s">
        <v>49</v>
      </c>
      <c r="W7" s="128" t="s">
        <v>47</v>
      </c>
      <c r="X7" s="129" t="s">
        <v>48</v>
      </c>
      <c r="Y7" s="130" t="s">
        <v>49</v>
      </c>
      <c r="Z7" s="128" t="s">
        <v>47</v>
      </c>
      <c r="AA7" s="129" t="s">
        <v>48</v>
      </c>
      <c r="AB7" s="99" t="s">
        <v>49</v>
      </c>
      <c r="AC7" s="128" t="s">
        <v>47</v>
      </c>
      <c r="AD7" s="150" t="s">
        <v>4</v>
      </c>
      <c r="AE7" s="99" t="s">
        <v>49</v>
      </c>
      <c r="AF7" s="154" t="s">
        <v>5</v>
      </c>
      <c r="AG7" s="150" t="s">
        <v>4</v>
      </c>
      <c r="AH7" s="155" t="s">
        <v>56</v>
      </c>
      <c r="AI7" s="150" t="s">
        <v>5</v>
      </c>
      <c r="AJ7" s="150" t="s">
        <v>4</v>
      </c>
      <c r="AK7" s="155" t="s">
        <v>56</v>
      </c>
      <c r="AL7" s="150" t="s">
        <v>5</v>
      </c>
      <c r="AM7" s="150" t="s">
        <v>4</v>
      </c>
      <c r="AN7" s="155" t="s">
        <v>56</v>
      </c>
      <c r="AO7" s="150" t="s">
        <v>5</v>
      </c>
      <c r="AP7" s="150" t="s">
        <v>4</v>
      </c>
      <c r="AQ7" s="155" t="s">
        <v>56</v>
      </c>
      <c r="AR7" s="150" t="s">
        <v>5</v>
      </c>
      <c r="AS7" s="150" t="s">
        <v>4</v>
      </c>
      <c r="AT7" s="155" t="s">
        <v>56</v>
      </c>
      <c r="AU7" s="128" t="s">
        <v>47</v>
      </c>
      <c r="AV7" s="129" t="s">
        <v>48</v>
      </c>
      <c r="AW7" s="130" t="s">
        <v>49</v>
      </c>
      <c r="AX7" s="65"/>
      <c r="AY7" s="65"/>
      <c r="BA7" s="54"/>
    </row>
    <row r="8" spans="1:53" ht="40.049999999999997" customHeight="1">
      <c r="B8" s="207" t="s">
        <v>7</v>
      </c>
      <c r="C8" s="208"/>
      <c r="D8" s="209"/>
      <c r="E8" s="79">
        <v>0</v>
      </c>
      <c r="F8" s="89">
        <v>88</v>
      </c>
      <c r="G8" s="96" t="e">
        <f>F8/E8</f>
        <v>#DIV/0!</v>
      </c>
      <c r="H8" s="75">
        <v>400</v>
      </c>
      <c r="I8" s="67">
        <v>149</v>
      </c>
      <c r="J8" s="96">
        <f>I8/H8</f>
        <v>0.3725</v>
      </c>
      <c r="K8" s="70">
        <v>0</v>
      </c>
      <c r="L8" s="67">
        <v>67</v>
      </c>
      <c r="M8" s="96" t="e">
        <f>L8/K8</f>
        <v>#DIV/0!</v>
      </c>
      <c r="N8" s="70">
        <v>400</v>
      </c>
      <c r="O8" s="67">
        <v>124</v>
      </c>
      <c r="P8" s="96">
        <f>O8/N8</f>
        <v>0.31</v>
      </c>
      <c r="Q8" s="79">
        <v>0</v>
      </c>
      <c r="R8" s="67">
        <v>186</v>
      </c>
      <c r="S8" s="96" t="e">
        <f>R8/Q8</f>
        <v>#DIV/0!</v>
      </c>
      <c r="T8" s="70">
        <v>400</v>
      </c>
      <c r="U8" s="67">
        <v>82</v>
      </c>
      <c r="V8" s="96">
        <f>U8/T8</f>
        <v>0.20499999999999999</v>
      </c>
      <c r="W8" s="70">
        <f t="shared" ref="W8:W10" si="0">E8+H8+K8+N8+Q8+T8</f>
        <v>1200</v>
      </c>
      <c r="X8" s="67">
        <v>697</v>
      </c>
      <c r="Y8" s="96">
        <f>X8/W8</f>
        <v>0.58083333333333331</v>
      </c>
      <c r="Z8" s="79">
        <v>400</v>
      </c>
      <c r="AA8" s="67">
        <v>107</v>
      </c>
      <c r="AB8" s="144">
        <f t="shared" ref="AB8:AB18" si="1">AA8/Z8</f>
        <v>0.26750000000000002</v>
      </c>
      <c r="AC8" s="70">
        <v>400</v>
      </c>
      <c r="AD8" s="149">
        <v>435</v>
      </c>
      <c r="AE8" s="144">
        <f t="shared" ref="AE8:AE11" si="2">AD8/AC8</f>
        <v>1.0874999999999999</v>
      </c>
      <c r="AF8" s="149">
        <v>0</v>
      </c>
      <c r="AG8" s="149"/>
      <c r="AH8" s="151" t="e">
        <f>AG8/AF8</f>
        <v>#DIV/0!</v>
      </c>
      <c r="AI8" s="152">
        <v>400</v>
      </c>
      <c r="AJ8" s="149"/>
      <c r="AK8" s="151">
        <f>AJ8/AI8</f>
        <v>0</v>
      </c>
      <c r="AL8" s="149">
        <v>0</v>
      </c>
      <c r="AM8" s="149"/>
      <c r="AN8" s="151" t="e">
        <f>AM8/AL8</f>
        <v>#DIV/0!</v>
      </c>
      <c r="AO8" s="152">
        <v>400</v>
      </c>
      <c r="AP8" s="149"/>
      <c r="AQ8" s="151">
        <f>AP8/AO8</f>
        <v>0</v>
      </c>
      <c r="AR8" s="149">
        <v>1600</v>
      </c>
      <c r="AS8" s="149">
        <v>543</v>
      </c>
      <c r="AT8" s="151">
        <f>AS8/AR8</f>
        <v>0.33937499999999998</v>
      </c>
      <c r="AU8" s="152">
        <f t="shared" ref="AU8:AV10" si="3">W8+AR8</f>
        <v>2800</v>
      </c>
      <c r="AV8" s="152">
        <v>1239</v>
      </c>
      <c r="AW8" s="153">
        <f>AV8/AU8</f>
        <v>0.4425</v>
      </c>
      <c r="AX8" s="191"/>
      <c r="BA8" s="54"/>
    </row>
    <row r="9" spans="1:53" ht="40.049999999999997" customHeight="1">
      <c r="B9" s="201" t="s">
        <v>1</v>
      </c>
      <c r="C9" s="202"/>
      <c r="D9" s="203"/>
      <c r="E9" s="76">
        <v>0</v>
      </c>
      <c r="F9" s="67"/>
      <c r="G9" s="96" t="e">
        <f t="shared" ref="G9:G11" si="4">F9/E9</f>
        <v>#DIV/0!</v>
      </c>
      <c r="H9" s="72">
        <v>0</v>
      </c>
      <c r="I9" s="67">
        <v>0</v>
      </c>
      <c r="J9" s="96" t="e">
        <f t="shared" ref="J9:J10" si="5">I9/H9</f>
        <v>#DIV/0!</v>
      </c>
      <c r="K9" s="67">
        <v>0</v>
      </c>
      <c r="L9" s="67">
        <v>0</v>
      </c>
      <c r="M9" s="96" t="e">
        <f t="shared" ref="M9:M11" si="6">L9/K9</f>
        <v>#DIV/0!</v>
      </c>
      <c r="N9" s="67">
        <v>0</v>
      </c>
      <c r="O9" s="67"/>
      <c r="P9" s="96" t="e">
        <f t="shared" ref="P9:P11" si="7">O9/N9</f>
        <v>#DIV/0!</v>
      </c>
      <c r="Q9" s="76">
        <v>0</v>
      </c>
      <c r="R9" s="67"/>
      <c r="S9" s="96" t="e">
        <f t="shared" ref="S9:S11" si="8">R9/Q9</f>
        <v>#DIV/0!</v>
      </c>
      <c r="T9" s="67">
        <v>0</v>
      </c>
      <c r="U9" s="67"/>
      <c r="V9" s="96" t="e">
        <f t="shared" ref="V9:V11" si="9">U9/T9</f>
        <v>#DIV/0!</v>
      </c>
      <c r="W9" s="67">
        <f t="shared" si="0"/>
        <v>0</v>
      </c>
      <c r="X9" s="67"/>
      <c r="Y9" s="96" t="e">
        <f t="shared" ref="Y9:Y11" si="10">X9/W9</f>
        <v>#DIV/0!</v>
      </c>
      <c r="Z9" s="76">
        <v>0</v>
      </c>
      <c r="AA9" s="67">
        <v>0</v>
      </c>
      <c r="AB9" s="144" t="e">
        <f t="shared" si="1"/>
        <v>#DIV/0!</v>
      </c>
      <c r="AC9" s="67">
        <v>0</v>
      </c>
      <c r="AD9" s="67">
        <v>0</v>
      </c>
      <c r="AE9" s="144" t="e">
        <f t="shared" si="2"/>
        <v>#DIV/0!</v>
      </c>
      <c r="AF9" s="67">
        <v>0</v>
      </c>
      <c r="AG9" s="67"/>
      <c r="AH9" s="96" t="e">
        <f t="shared" ref="AH9:AH11" si="11">AG9/AF9</f>
        <v>#DIV/0!</v>
      </c>
      <c r="AI9" s="67">
        <v>0</v>
      </c>
      <c r="AJ9" s="67"/>
      <c r="AK9" s="96" t="e">
        <f t="shared" ref="AK9:AK11" si="12">AJ9/AI9</f>
        <v>#DIV/0!</v>
      </c>
      <c r="AL9" s="67">
        <v>0</v>
      </c>
      <c r="AM9" s="67"/>
      <c r="AN9" s="96" t="e">
        <f t="shared" ref="AN9:AN11" si="13">AM9/AL9</f>
        <v>#DIV/0!</v>
      </c>
      <c r="AO9" s="67">
        <v>0</v>
      </c>
      <c r="AP9" s="67"/>
      <c r="AQ9" s="96" t="e">
        <f t="shared" ref="AQ9:AQ11" si="14">AP9/AO9</f>
        <v>#DIV/0!</v>
      </c>
      <c r="AR9" s="67">
        <v>0</v>
      </c>
      <c r="AS9" s="67">
        <v>0</v>
      </c>
      <c r="AT9" s="96" t="e">
        <f t="shared" ref="AT9:AT11" si="15">AS9/AR9</f>
        <v>#DIV/0!</v>
      </c>
      <c r="AU9" s="67">
        <f t="shared" si="3"/>
        <v>0</v>
      </c>
      <c r="AV9" s="67">
        <f t="shared" si="3"/>
        <v>0</v>
      </c>
      <c r="AW9" s="101" t="e">
        <f t="shared" ref="AW9:AW11" si="16">AV9/AU9</f>
        <v>#DIV/0!</v>
      </c>
      <c r="AX9" s="191"/>
      <c r="BA9" s="54"/>
    </row>
    <row r="10" spans="1:53" ht="40.049999999999997" customHeight="1" outlineLevel="1">
      <c r="B10" s="201" t="s">
        <v>16</v>
      </c>
      <c r="C10" s="202"/>
      <c r="D10" s="203"/>
      <c r="E10" s="76">
        <v>0</v>
      </c>
      <c r="F10" s="67"/>
      <c r="G10" s="96" t="e">
        <f t="shared" si="4"/>
        <v>#DIV/0!</v>
      </c>
      <c r="H10" s="72">
        <v>0</v>
      </c>
      <c r="I10" s="67">
        <v>0</v>
      </c>
      <c r="J10" s="96" t="e">
        <f t="shared" si="5"/>
        <v>#DIV/0!</v>
      </c>
      <c r="K10" s="67">
        <v>0</v>
      </c>
      <c r="L10" s="67">
        <v>0</v>
      </c>
      <c r="M10" s="96" t="e">
        <f t="shared" si="6"/>
        <v>#DIV/0!</v>
      </c>
      <c r="N10" s="67">
        <v>0</v>
      </c>
      <c r="O10" s="67"/>
      <c r="P10" s="96" t="e">
        <f t="shared" si="7"/>
        <v>#DIV/0!</v>
      </c>
      <c r="Q10" s="76">
        <v>0</v>
      </c>
      <c r="R10" s="67"/>
      <c r="S10" s="96" t="e">
        <f t="shared" si="8"/>
        <v>#DIV/0!</v>
      </c>
      <c r="T10" s="67">
        <v>0</v>
      </c>
      <c r="U10" s="67"/>
      <c r="V10" s="96" t="e">
        <f t="shared" si="9"/>
        <v>#DIV/0!</v>
      </c>
      <c r="W10" s="67">
        <f t="shared" si="0"/>
        <v>0</v>
      </c>
      <c r="X10" s="67"/>
      <c r="Y10" s="96" t="e">
        <f t="shared" si="10"/>
        <v>#DIV/0!</v>
      </c>
      <c r="Z10" s="76">
        <v>0</v>
      </c>
      <c r="AA10" s="67">
        <v>0</v>
      </c>
      <c r="AB10" s="156" t="e">
        <f t="shared" si="1"/>
        <v>#DIV/0!</v>
      </c>
      <c r="AC10" s="67">
        <v>0</v>
      </c>
      <c r="AD10" s="67">
        <v>0</v>
      </c>
      <c r="AE10" s="156" t="e">
        <f t="shared" si="2"/>
        <v>#DIV/0!</v>
      </c>
      <c r="AF10" s="67">
        <v>0</v>
      </c>
      <c r="AG10" s="67"/>
      <c r="AH10" s="96" t="e">
        <f t="shared" si="11"/>
        <v>#DIV/0!</v>
      </c>
      <c r="AI10" s="67">
        <v>0</v>
      </c>
      <c r="AJ10" s="67"/>
      <c r="AK10" s="96" t="e">
        <f t="shared" si="12"/>
        <v>#DIV/0!</v>
      </c>
      <c r="AL10" s="67">
        <v>0</v>
      </c>
      <c r="AM10" s="67"/>
      <c r="AN10" s="96" t="e">
        <f t="shared" si="13"/>
        <v>#DIV/0!</v>
      </c>
      <c r="AO10" s="67">
        <v>0</v>
      </c>
      <c r="AP10" s="67"/>
      <c r="AQ10" s="96" t="e">
        <f t="shared" si="14"/>
        <v>#DIV/0!</v>
      </c>
      <c r="AR10" s="67">
        <v>0</v>
      </c>
      <c r="AS10" s="67">
        <v>0</v>
      </c>
      <c r="AT10" s="96" t="e">
        <f t="shared" si="15"/>
        <v>#DIV/0!</v>
      </c>
      <c r="AU10" s="67">
        <f t="shared" si="3"/>
        <v>0</v>
      </c>
      <c r="AV10" s="67">
        <f t="shared" si="3"/>
        <v>0</v>
      </c>
      <c r="AW10" s="101" t="e">
        <f t="shared" si="16"/>
        <v>#DIV/0!</v>
      </c>
      <c r="BA10" s="54"/>
    </row>
    <row r="11" spans="1:53" ht="40.049999999999997" customHeight="1" outlineLevel="1">
      <c r="B11" s="211" t="s">
        <v>15</v>
      </c>
      <c r="C11" s="212"/>
      <c r="D11" s="213"/>
      <c r="E11" s="84">
        <f t="shared" ref="E11" si="17">SUM(E8:E10)</f>
        <v>0</v>
      </c>
      <c r="F11" s="69">
        <v>88</v>
      </c>
      <c r="G11" s="96" t="e">
        <f t="shared" si="4"/>
        <v>#DIV/0!</v>
      </c>
      <c r="H11" s="122">
        <v>400</v>
      </c>
      <c r="I11" s="123">
        <v>149</v>
      </c>
      <c r="J11" s="96">
        <f>I11/H11</f>
        <v>0.3725</v>
      </c>
      <c r="K11" s="86">
        <f t="shared" ref="K11" si="18">SUM(K8:K10)</f>
        <v>0</v>
      </c>
      <c r="L11" s="123">
        <v>67</v>
      </c>
      <c r="M11" s="96" t="e">
        <f t="shared" si="6"/>
        <v>#DIV/0!</v>
      </c>
      <c r="N11" s="86">
        <f t="shared" ref="N11" si="19">SUM(N8:N10)</f>
        <v>400</v>
      </c>
      <c r="O11" s="123">
        <v>124</v>
      </c>
      <c r="P11" s="96">
        <f t="shared" si="7"/>
        <v>0.31</v>
      </c>
      <c r="Q11" s="84">
        <f t="shared" ref="Q11" si="20">SUM(Q8:Q10)</f>
        <v>0</v>
      </c>
      <c r="R11" s="123">
        <v>186</v>
      </c>
      <c r="S11" s="96" t="e">
        <f t="shared" si="8"/>
        <v>#DIV/0!</v>
      </c>
      <c r="T11" s="86">
        <f t="shared" ref="T11" si="21">SUM(T8:T10)</f>
        <v>400</v>
      </c>
      <c r="U11" s="123">
        <v>82</v>
      </c>
      <c r="V11" s="96">
        <f t="shared" si="9"/>
        <v>0.20499999999999999</v>
      </c>
      <c r="W11" s="86">
        <f t="shared" ref="W11" si="22">SUM(W8:W10)</f>
        <v>1200</v>
      </c>
      <c r="X11" s="123">
        <v>697</v>
      </c>
      <c r="Y11" s="96">
        <f t="shared" si="10"/>
        <v>0.58083333333333331</v>
      </c>
      <c r="Z11" s="84">
        <f t="shared" ref="Z11" si="23">SUM(Z8:Z10)</f>
        <v>400</v>
      </c>
      <c r="AA11" s="123">
        <v>107</v>
      </c>
      <c r="AB11" s="157">
        <f t="shared" si="1"/>
        <v>0.26750000000000002</v>
      </c>
      <c r="AC11" s="86">
        <f t="shared" ref="AC11" si="24">SUM(AC8:AC10)</f>
        <v>400</v>
      </c>
      <c r="AD11" s="123">
        <v>435</v>
      </c>
      <c r="AE11" s="157">
        <f t="shared" si="2"/>
        <v>1.0874999999999999</v>
      </c>
      <c r="AF11" s="123">
        <v>0</v>
      </c>
      <c r="AG11" s="123">
        <v>0</v>
      </c>
      <c r="AH11" s="96" t="e">
        <f t="shared" si="11"/>
        <v>#DIV/0!</v>
      </c>
      <c r="AI11" s="86">
        <f t="shared" ref="AI11" si="25">SUM(AI8:AI10)</f>
        <v>400</v>
      </c>
      <c r="AJ11" s="123">
        <v>0</v>
      </c>
      <c r="AK11" s="96">
        <f t="shared" si="12"/>
        <v>0</v>
      </c>
      <c r="AL11" s="123">
        <v>0</v>
      </c>
      <c r="AM11" s="123">
        <v>0</v>
      </c>
      <c r="AN11" s="96" t="e">
        <f t="shared" si="13"/>
        <v>#DIV/0!</v>
      </c>
      <c r="AO11" s="86">
        <f t="shared" ref="AO11" si="26">SUM(AO8:AO10)</f>
        <v>400</v>
      </c>
      <c r="AP11" s="123">
        <v>0</v>
      </c>
      <c r="AQ11" s="96">
        <f t="shared" si="14"/>
        <v>0</v>
      </c>
      <c r="AR11" s="123">
        <v>1600</v>
      </c>
      <c r="AS11" s="123">
        <v>543</v>
      </c>
      <c r="AT11" s="96">
        <f t="shared" si="15"/>
        <v>0.33937499999999998</v>
      </c>
      <c r="AU11" s="86">
        <f t="shared" ref="AU11:AV11" si="27">SUM(AU8:AU10)</f>
        <v>2800</v>
      </c>
      <c r="AV11" s="86">
        <f t="shared" si="27"/>
        <v>1239</v>
      </c>
      <c r="AW11" s="101">
        <f t="shared" si="16"/>
        <v>0.4425</v>
      </c>
      <c r="BA11" s="54"/>
    </row>
    <row r="12" spans="1:53" ht="40.049999999999997" customHeight="1" outlineLevel="1">
      <c r="B12" s="214" t="s">
        <v>55</v>
      </c>
      <c r="C12" s="215"/>
      <c r="D12" s="216"/>
      <c r="E12" s="78" t="s">
        <v>5</v>
      </c>
      <c r="F12" s="95" t="s">
        <v>4</v>
      </c>
      <c r="G12" s="111" t="s">
        <v>56</v>
      </c>
      <c r="H12" s="74" t="s">
        <v>5</v>
      </c>
      <c r="I12" s="68" t="s">
        <v>4</v>
      </c>
      <c r="J12" s="111" t="s">
        <v>56</v>
      </c>
      <c r="K12" s="68" t="s">
        <v>5</v>
      </c>
      <c r="L12" s="68" t="s">
        <v>4</v>
      </c>
      <c r="M12" s="111" t="s">
        <v>56</v>
      </c>
      <c r="N12" s="68" t="s">
        <v>5</v>
      </c>
      <c r="O12" s="68" t="s">
        <v>4</v>
      </c>
      <c r="P12" s="111" t="s">
        <v>56</v>
      </c>
      <c r="Q12" s="78" t="s">
        <v>5</v>
      </c>
      <c r="R12" s="68" t="s">
        <v>4</v>
      </c>
      <c r="S12" s="111" t="s">
        <v>56</v>
      </c>
      <c r="T12" s="68" t="s">
        <v>5</v>
      </c>
      <c r="U12" s="68" t="s">
        <v>4</v>
      </c>
      <c r="V12" s="111" t="s">
        <v>56</v>
      </c>
      <c r="W12" s="68" t="s">
        <v>5</v>
      </c>
      <c r="X12" s="68" t="s">
        <v>4</v>
      </c>
      <c r="Y12" s="111" t="s">
        <v>56</v>
      </c>
      <c r="Z12" s="78" t="s">
        <v>5</v>
      </c>
      <c r="AA12" s="68" t="s">
        <v>4</v>
      </c>
      <c r="AB12" s="148" t="s">
        <v>49</v>
      </c>
      <c r="AC12" s="68" t="s">
        <v>5</v>
      </c>
      <c r="AD12" s="68" t="s">
        <v>4</v>
      </c>
      <c r="AE12" s="148" t="s">
        <v>49</v>
      </c>
      <c r="AF12" s="68" t="s">
        <v>5</v>
      </c>
      <c r="AG12" s="68" t="s">
        <v>4</v>
      </c>
      <c r="AH12" s="111" t="s">
        <v>56</v>
      </c>
      <c r="AI12" s="68" t="s">
        <v>5</v>
      </c>
      <c r="AJ12" s="68" t="s">
        <v>4</v>
      </c>
      <c r="AK12" s="111" t="s">
        <v>56</v>
      </c>
      <c r="AL12" s="68" t="s">
        <v>5</v>
      </c>
      <c r="AM12" s="68" t="s">
        <v>4</v>
      </c>
      <c r="AN12" s="111" t="s">
        <v>56</v>
      </c>
      <c r="AO12" s="68" t="s">
        <v>5</v>
      </c>
      <c r="AP12" s="68" t="s">
        <v>4</v>
      </c>
      <c r="AQ12" s="111" t="s">
        <v>56</v>
      </c>
      <c r="AR12" s="68" t="s">
        <v>5</v>
      </c>
      <c r="AS12" s="68" t="s">
        <v>4</v>
      </c>
      <c r="AT12" s="111" t="s">
        <v>56</v>
      </c>
      <c r="AU12" s="68" t="s">
        <v>5</v>
      </c>
      <c r="AV12" s="68" t="s">
        <v>4</v>
      </c>
      <c r="AW12" s="111" t="s">
        <v>56</v>
      </c>
      <c r="BA12" s="54"/>
    </row>
    <row r="13" spans="1:53" ht="40.049999999999997" customHeight="1">
      <c r="B13" s="201" t="s">
        <v>0</v>
      </c>
      <c r="C13" s="202"/>
      <c r="D13" s="203"/>
      <c r="E13" s="76">
        <v>900</v>
      </c>
      <c r="F13" s="89">
        <v>400</v>
      </c>
      <c r="G13" s="96">
        <f>F13/E13</f>
        <v>0.44444444444444442</v>
      </c>
      <c r="H13" s="72">
        <v>900</v>
      </c>
      <c r="I13" s="67">
        <v>0</v>
      </c>
      <c r="J13" s="96">
        <f>I13/H13</f>
        <v>0</v>
      </c>
      <c r="K13" s="67">
        <v>900</v>
      </c>
      <c r="L13" s="67">
        <v>0</v>
      </c>
      <c r="M13" s="96">
        <f>L13/K13</f>
        <v>0</v>
      </c>
      <c r="N13" s="67">
        <v>900</v>
      </c>
      <c r="O13" s="67">
        <v>0</v>
      </c>
      <c r="P13" s="96">
        <f>O13/N13</f>
        <v>0</v>
      </c>
      <c r="Q13" s="76">
        <v>900</v>
      </c>
      <c r="R13" s="67">
        <v>414</v>
      </c>
      <c r="S13" s="96">
        <f>R13/Q13</f>
        <v>0.46</v>
      </c>
      <c r="T13" s="67">
        <v>900</v>
      </c>
      <c r="U13" s="67">
        <v>0</v>
      </c>
      <c r="V13" s="96">
        <f>U13/T13</f>
        <v>0</v>
      </c>
      <c r="W13" s="67">
        <f t="shared" ref="W13:X15" si="28">E13+H13+K13+N13+Q13+T13</f>
        <v>5400</v>
      </c>
      <c r="X13" s="67">
        <f t="shared" si="28"/>
        <v>814</v>
      </c>
      <c r="Y13" s="96">
        <f>X13/W13</f>
        <v>0.15074074074074073</v>
      </c>
      <c r="Z13" s="76">
        <v>900</v>
      </c>
      <c r="AA13" s="67">
        <v>400</v>
      </c>
      <c r="AB13" s="144">
        <f t="shared" si="1"/>
        <v>0.44444444444444442</v>
      </c>
      <c r="AC13" s="67">
        <v>900</v>
      </c>
      <c r="AD13" s="67">
        <v>350</v>
      </c>
      <c r="AE13" s="144">
        <f>AD13/AC13</f>
        <v>0.3888888888888889</v>
      </c>
      <c r="AF13" s="67">
        <v>900</v>
      </c>
      <c r="AG13" s="67"/>
      <c r="AH13" s="96">
        <f>AG13/AF13</f>
        <v>0</v>
      </c>
      <c r="AI13" s="67">
        <v>900</v>
      </c>
      <c r="AJ13" s="67"/>
      <c r="AK13" s="96">
        <f>AJ13/AI13</f>
        <v>0</v>
      </c>
      <c r="AL13" s="67">
        <v>900</v>
      </c>
      <c r="AM13" s="67"/>
      <c r="AN13" s="96">
        <f>AM13/AL13</f>
        <v>0</v>
      </c>
      <c r="AO13" s="67">
        <v>900</v>
      </c>
      <c r="AP13" s="67"/>
      <c r="AQ13" s="96">
        <f>AP13/AO13</f>
        <v>0</v>
      </c>
      <c r="AR13" s="67">
        <f>SUM(Z13:AP13)</f>
        <v>6150.833333333333</v>
      </c>
      <c r="AS13" s="67">
        <f>AA13+AD13+AG13+AJ13+AM13+AP13</f>
        <v>750</v>
      </c>
      <c r="AT13" s="96">
        <f>AS13/AR13</f>
        <v>0.12193469719550197</v>
      </c>
      <c r="AU13" s="67">
        <f t="shared" ref="AU13:AV16" si="29">W13+AR13</f>
        <v>11550.833333333332</v>
      </c>
      <c r="AV13" s="67">
        <f t="shared" si="29"/>
        <v>1564</v>
      </c>
      <c r="AW13" s="101">
        <f>AV13/AU13</f>
        <v>0.13540148618425801</v>
      </c>
      <c r="AX13" s="191"/>
      <c r="BA13" s="54"/>
    </row>
    <row r="14" spans="1:53" ht="40.049999999999997" customHeight="1">
      <c r="B14" s="201" t="s">
        <v>3</v>
      </c>
      <c r="C14" s="202"/>
      <c r="D14" s="203"/>
      <c r="E14" s="76">
        <v>200</v>
      </c>
      <c r="F14" s="67">
        <v>0</v>
      </c>
      <c r="G14" s="96">
        <f t="shared" ref="G14:G18" si="30">F14/E14</f>
        <v>0</v>
      </c>
      <c r="H14" s="72">
        <v>200</v>
      </c>
      <c r="I14" s="67">
        <v>200</v>
      </c>
      <c r="J14" s="96">
        <f t="shared" ref="J14:J18" si="31">I14/H14</f>
        <v>1</v>
      </c>
      <c r="K14" s="67">
        <v>200</v>
      </c>
      <c r="L14" s="67">
        <v>0</v>
      </c>
      <c r="M14" s="96">
        <f t="shared" ref="M14:M18" si="32">L14/K14</f>
        <v>0</v>
      </c>
      <c r="N14" s="67">
        <v>200</v>
      </c>
      <c r="O14" s="67">
        <v>0</v>
      </c>
      <c r="P14" s="96">
        <f t="shared" ref="P14:P18" si="33">O14/N14</f>
        <v>0</v>
      </c>
      <c r="Q14" s="76">
        <v>200</v>
      </c>
      <c r="R14" s="67">
        <v>0</v>
      </c>
      <c r="S14" s="96">
        <f t="shared" ref="S14:S18" si="34">R14/Q14</f>
        <v>0</v>
      </c>
      <c r="T14" s="67">
        <v>200</v>
      </c>
      <c r="U14" s="67">
        <v>0</v>
      </c>
      <c r="V14" s="96">
        <f t="shared" ref="V14:V18" si="35">U14/T14</f>
        <v>0</v>
      </c>
      <c r="W14" s="67">
        <f t="shared" si="28"/>
        <v>1200</v>
      </c>
      <c r="X14" s="67">
        <f t="shared" si="28"/>
        <v>200</v>
      </c>
      <c r="Y14" s="96">
        <f t="shared" ref="Y14:Y18" si="36">X14/W14</f>
        <v>0.16666666666666666</v>
      </c>
      <c r="Z14" s="76">
        <v>200</v>
      </c>
      <c r="AA14" s="67">
        <v>0</v>
      </c>
      <c r="AB14" s="144">
        <f t="shared" si="1"/>
        <v>0</v>
      </c>
      <c r="AC14" s="67">
        <v>200</v>
      </c>
      <c r="AD14" s="67">
        <v>0</v>
      </c>
      <c r="AE14" s="144">
        <f t="shared" ref="AE14:AE18" si="37">AD14/AC14</f>
        <v>0</v>
      </c>
      <c r="AF14" s="67">
        <v>200</v>
      </c>
      <c r="AG14" s="67"/>
      <c r="AH14" s="96">
        <f t="shared" ref="AH14:AH18" si="38">AG14/AF14</f>
        <v>0</v>
      </c>
      <c r="AI14" s="67">
        <v>200</v>
      </c>
      <c r="AJ14" s="67"/>
      <c r="AK14" s="96">
        <f t="shared" ref="AK14:AK18" si="39">AJ14/AI14</f>
        <v>0</v>
      </c>
      <c r="AL14" s="67">
        <v>200</v>
      </c>
      <c r="AM14" s="67"/>
      <c r="AN14" s="96">
        <f t="shared" ref="AN14:AN18" si="40">AM14/AL14</f>
        <v>0</v>
      </c>
      <c r="AO14" s="67">
        <v>200</v>
      </c>
      <c r="AP14" s="67"/>
      <c r="AQ14" s="96">
        <f t="shared" ref="AQ14:AQ18" si="41">AP14/AO14</f>
        <v>0</v>
      </c>
      <c r="AR14" s="67">
        <f>Z14+AC14+AF14+AI14+AL14+AO14</f>
        <v>1200</v>
      </c>
      <c r="AS14" s="67">
        <f>AA14+AD14+AG14+AJ14+AM14+AP14</f>
        <v>0</v>
      </c>
      <c r="AT14" s="96">
        <f t="shared" ref="AT14:AT18" si="42">AS14/AR14</f>
        <v>0</v>
      </c>
      <c r="AU14" s="67">
        <f t="shared" si="29"/>
        <v>2400</v>
      </c>
      <c r="AV14" s="67">
        <f t="shared" si="29"/>
        <v>200</v>
      </c>
      <c r="AW14" s="101">
        <f t="shared" ref="AW14:AW18" si="43">AV14/AU14</f>
        <v>8.3333333333333329E-2</v>
      </c>
      <c r="AX14" s="191"/>
      <c r="BA14" s="54"/>
    </row>
    <row r="15" spans="1:53" ht="40.049999999999997" customHeight="1">
      <c r="B15" s="201" t="s">
        <v>2</v>
      </c>
      <c r="C15" s="202"/>
      <c r="D15" s="203"/>
      <c r="E15" s="76"/>
      <c r="F15" s="67">
        <v>60</v>
      </c>
      <c r="G15" s="96" t="e">
        <f t="shared" si="30"/>
        <v>#DIV/0!</v>
      </c>
      <c r="H15" s="72"/>
      <c r="I15" s="67">
        <v>0</v>
      </c>
      <c r="J15" s="96" t="e">
        <f t="shared" si="31"/>
        <v>#DIV/0!</v>
      </c>
      <c r="K15" s="67"/>
      <c r="L15" s="67">
        <v>30</v>
      </c>
      <c r="M15" s="96" t="e">
        <f t="shared" si="32"/>
        <v>#DIV/0!</v>
      </c>
      <c r="N15" s="67"/>
      <c r="O15" s="67">
        <v>180</v>
      </c>
      <c r="P15" s="96" t="e">
        <f t="shared" si="33"/>
        <v>#DIV/0!</v>
      </c>
      <c r="Q15" s="76"/>
      <c r="R15" s="67">
        <v>0</v>
      </c>
      <c r="S15" s="96" t="e">
        <f t="shared" si="34"/>
        <v>#DIV/0!</v>
      </c>
      <c r="T15" s="67"/>
      <c r="U15" s="67">
        <v>0</v>
      </c>
      <c r="V15" s="96" t="e">
        <f t="shared" si="35"/>
        <v>#DIV/0!</v>
      </c>
      <c r="W15" s="67">
        <f t="shared" si="28"/>
        <v>0</v>
      </c>
      <c r="X15" s="67">
        <f t="shared" si="28"/>
        <v>270</v>
      </c>
      <c r="Y15" s="96" t="e">
        <f t="shared" si="36"/>
        <v>#DIV/0!</v>
      </c>
      <c r="Z15" s="76"/>
      <c r="AA15" s="67">
        <v>0</v>
      </c>
      <c r="AB15" s="144" t="e">
        <f t="shared" si="1"/>
        <v>#DIV/0!</v>
      </c>
      <c r="AC15" s="67"/>
      <c r="AD15" s="67">
        <v>0</v>
      </c>
      <c r="AE15" s="144" t="e">
        <f t="shared" si="37"/>
        <v>#DIV/0!</v>
      </c>
      <c r="AF15" s="67"/>
      <c r="AG15" s="67"/>
      <c r="AH15" s="96" t="e">
        <f t="shared" si="38"/>
        <v>#DIV/0!</v>
      </c>
      <c r="AI15" s="67"/>
      <c r="AJ15" s="67"/>
      <c r="AK15" s="96" t="e">
        <f t="shared" si="39"/>
        <v>#DIV/0!</v>
      </c>
      <c r="AL15" s="67"/>
      <c r="AM15" s="67"/>
      <c r="AN15" s="96" t="e">
        <f t="shared" si="40"/>
        <v>#DIV/0!</v>
      </c>
      <c r="AO15" s="67"/>
      <c r="AP15" s="67"/>
      <c r="AQ15" s="96" t="e">
        <f t="shared" si="41"/>
        <v>#DIV/0!</v>
      </c>
      <c r="AR15" s="67">
        <f>Z15+AC15+AF15+AI15+AL15+AO15</f>
        <v>0</v>
      </c>
      <c r="AS15" s="67">
        <f>AA15+AD15+AG15+AJ15+AM15+AP15</f>
        <v>0</v>
      </c>
      <c r="AT15" s="96" t="e">
        <f t="shared" si="42"/>
        <v>#DIV/0!</v>
      </c>
      <c r="AU15" s="67">
        <f t="shared" si="29"/>
        <v>0</v>
      </c>
      <c r="AV15" s="67">
        <f t="shared" si="29"/>
        <v>270</v>
      </c>
      <c r="AW15" s="101" t="e">
        <f t="shared" si="43"/>
        <v>#DIV/0!</v>
      </c>
      <c r="AX15" s="191"/>
      <c r="BA15" s="54"/>
    </row>
    <row r="16" spans="1:53" ht="40.049999999999997" customHeight="1">
      <c r="B16" s="201" t="s">
        <v>42</v>
      </c>
      <c r="C16" s="202"/>
      <c r="D16" s="203"/>
      <c r="E16" s="77"/>
      <c r="F16" s="67">
        <v>70</v>
      </c>
      <c r="G16" s="96" t="e">
        <f t="shared" si="30"/>
        <v>#DIV/0!</v>
      </c>
      <c r="H16" s="73"/>
      <c r="I16" s="71">
        <v>65</v>
      </c>
      <c r="J16" s="96" t="e">
        <f t="shared" si="31"/>
        <v>#DIV/0!</v>
      </c>
      <c r="K16" s="71"/>
      <c r="L16" s="71">
        <v>65</v>
      </c>
      <c r="M16" s="96" t="e">
        <f t="shared" si="32"/>
        <v>#DIV/0!</v>
      </c>
      <c r="N16" s="71"/>
      <c r="O16" s="71">
        <v>65</v>
      </c>
      <c r="P16" s="96" t="e">
        <f t="shared" si="33"/>
        <v>#DIV/0!</v>
      </c>
      <c r="Q16" s="77"/>
      <c r="R16" s="71">
        <v>85</v>
      </c>
      <c r="S16" s="96" t="e">
        <f t="shared" si="34"/>
        <v>#DIV/0!</v>
      </c>
      <c r="T16" s="71"/>
      <c r="U16" s="71">
        <v>85</v>
      </c>
      <c r="V16" s="96" t="e">
        <f t="shared" si="35"/>
        <v>#DIV/0!</v>
      </c>
      <c r="W16" s="71"/>
      <c r="X16" s="71">
        <f>F16+I16+L16+O16+R16+U16</f>
        <v>435</v>
      </c>
      <c r="Y16" s="96" t="e">
        <f t="shared" si="36"/>
        <v>#DIV/0!</v>
      </c>
      <c r="Z16" s="77"/>
      <c r="AA16" s="71">
        <v>85</v>
      </c>
      <c r="AB16" s="144" t="e">
        <f t="shared" si="1"/>
        <v>#DIV/0!</v>
      </c>
      <c r="AC16" s="71"/>
      <c r="AD16" s="71">
        <v>145</v>
      </c>
      <c r="AE16" s="144" t="e">
        <f t="shared" si="37"/>
        <v>#DIV/0!</v>
      </c>
      <c r="AF16" s="71"/>
      <c r="AG16" s="71"/>
      <c r="AH16" s="96" t="e">
        <f t="shared" si="38"/>
        <v>#DIV/0!</v>
      </c>
      <c r="AI16" s="71"/>
      <c r="AJ16" s="71"/>
      <c r="AK16" s="96" t="e">
        <f t="shared" si="39"/>
        <v>#DIV/0!</v>
      </c>
      <c r="AL16" s="71"/>
      <c r="AM16" s="71"/>
      <c r="AN16" s="96" t="e">
        <f t="shared" si="40"/>
        <v>#DIV/0!</v>
      </c>
      <c r="AO16" s="71"/>
      <c r="AP16" s="71"/>
      <c r="AQ16" s="96" t="e">
        <f t="shared" si="41"/>
        <v>#DIV/0!</v>
      </c>
      <c r="AR16" s="71"/>
      <c r="AS16" s="71">
        <f>AA16+AD16+AG16+AJ16+AM16+AP16</f>
        <v>230</v>
      </c>
      <c r="AT16" s="96" t="e">
        <f t="shared" si="42"/>
        <v>#DIV/0!</v>
      </c>
      <c r="AU16" s="71">
        <f t="shared" si="29"/>
        <v>0</v>
      </c>
      <c r="AV16" s="71">
        <f t="shared" si="29"/>
        <v>665</v>
      </c>
      <c r="AW16" s="101" t="e">
        <f t="shared" si="43"/>
        <v>#DIV/0!</v>
      </c>
      <c r="AX16" s="191"/>
      <c r="BA16" s="54"/>
    </row>
    <row r="17" spans="1:59" ht="40.049999999999997" customHeight="1">
      <c r="B17" s="221" t="s">
        <v>15</v>
      </c>
      <c r="C17" s="222"/>
      <c r="D17" s="223"/>
      <c r="E17" s="84">
        <f>E14+E13</f>
        <v>1100</v>
      </c>
      <c r="F17" s="86">
        <f>F13+F14+F15+F16</f>
        <v>530</v>
      </c>
      <c r="G17" s="96">
        <f t="shared" si="30"/>
        <v>0.48181818181818181</v>
      </c>
      <c r="H17" s="85">
        <f>H13+H14+H15+H16</f>
        <v>1100</v>
      </c>
      <c r="I17" s="86">
        <f>I16+I15+I14+I13</f>
        <v>265</v>
      </c>
      <c r="J17" s="96">
        <f t="shared" si="31"/>
        <v>0.24090909090909091</v>
      </c>
      <c r="K17" s="86">
        <f>K13+K14+K15+K16</f>
        <v>1100</v>
      </c>
      <c r="L17" s="86">
        <f>L16+L15+L14+L13</f>
        <v>95</v>
      </c>
      <c r="M17" s="96">
        <f t="shared" si="32"/>
        <v>8.6363636363636365E-2</v>
      </c>
      <c r="N17" s="86">
        <f>N16+N15+N14+N13</f>
        <v>1100</v>
      </c>
      <c r="O17" s="86">
        <f>O16+O15+O14+O13</f>
        <v>245</v>
      </c>
      <c r="P17" s="96">
        <f t="shared" si="33"/>
        <v>0.22272727272727272</v>
      </c>
      <c r="Q17" s="84">
        <f>Q16+Q15+Q14+Q13</f>
        <v>1100</v>
      </c>
      <c r="R17" s="86">
        <f>R16+R15+R14+R13</f>
        <v>499</v>
      </c>
      <c r="S17" s="96">
        <f t="shared" si="34"/>
        <v>0.45363636363636362</v>
      </c>
      <c r="T17" s="86">
        <f>T16+T15+T14+T13</f>
        <v>1100</v>
      </c>
      <c r="U17" s="86">
        <f>U16+U15+U14+U13</f>
        <v>85</v>
      </c>
      <c r="V17" s="96">
        <f t="shared" si="35"/>
        <v>7.7272727272727271E-2</v>
      </c>
      <c r="W17" s="86">
        <f>W16+W15+W14+W13</f>
        <v>6600</v>
      </c>
      <c r="X17" s="86">
        <f>X16+X15+X14+X13</f>
        <v>1719</v>
      </c>
      <c r="Y17" s="96">
        <f t="shared" si="36"/>
        <v>0.26045454545454544</v>
      </c>
      <c r="Z17" s="84">
        <f>Z16+Z15+Z14+Z13</f>
        <v>1100</v>
      </c>
      <c r="AA17" s="85">
        <f>AA16+AA15+AA14+AA13</f>
        <v>485</v>
      </c>
      <c r="AB17" s="144">
        <f t="shared" si="1"/>
        <v>0.44090909090909092</v>
      </c>
      <c r="AC17" s="86">
        <f>AC16+AC15+AC14+AC13</f>
        <v>1100</v>
      </c>
      <c r="AD17" s="86">
        <f>AD16+AD15+AD14+AD13</f>
        <v>495</v>
      </c>
      <c r="AE17" s="144">
        <f t="shared" si="37"/>
        <v>0.45</v>
      </c>
      <c r="AF17" s="85">
        <f>AF16+AF15+AF14+AF13</f>
        <v>1100</v>
      </c>
      <c r="AG17" s="86">
        <f>AG16+AG15+AG14+AG13</f>
        <v>0</v>
      </c>
      <c r="AH17" s="96">
        <f t="shared" si="38"/>
        <v>0</v>
      </c>
      <c r="AI17" s="86">
        <f>AI16+AI15+AI14+AI13</f>
        <v>1100</v>
      </c>
      <c r="AJ17" s="86">
        <f>AJ16+AJ15+AJ14+AJ13</f>
        <v>0</v>
      </c>
      <c r="AK17" s="96">
        <f t="shared" si="39"/>
        <v>0</v>
      </c>
      <c r="AL17" s="86">
        <f>AL16+AL15+AL14+AL13</f>
        <v>1100</v>
      </c>
      <c r="AM17" s="86">
        <f>AM16+AM15+AM14+AM13</f>
        <v>0</v>
      </c>
      <c r="AN17" s="96">
        <f t="shared" si="40"/>
        <v>0</v>
      </c>
      <c r="AO17" s="86">
        <f>AO16+AO15+AO14+AO13</f>
        <v>1100</v>
      </c>
      <c r="AP17" s="86">
        <f>AP16+AP15+AP14+AP13</f>
        <v>0</v>
      </c>
      <c r="AQ17" s="96">
        <f t="shared" si="41"/>
        <v>0</v>
      </c>
      <c r="AR17" s="86">
        <f>AR16+AR15+AR14+AR13</f>
        <v>7350.833333333333</v>
      </c>
      <c r="AS17" s="86">
        <f>AS16+AS15+AS14+AS13</f>
        <v>980</v>
      </c>
      <c r="AT17" s="96">
        <f t="shared" si="42"/>
        <v>0.13331821788912823</v>
      </c>
      <c r="AU17" s="86">
        <f>AU16+AU15+AU14+AU13</f>
        <v>13950.833333333332</v>
      </c>
      <c r="AV17" s="86">
        <f>AV16+AV15+AV14+AV13</f>
        <v>2699</v>
      </c>
      <c r="AW17" s="101">
        <f t="shared" si="43"/>
        <v>0.19346514545128726</v>
      </c>
      <c r="AX17" s="65"/>
      <c r="AY17" s="65"/>
      <c r="BA17" s="54"/>
    </row>
    <row r="18" spans="1:59" ht="40.049999999999997" customHeight="1">
      <c r="B18" s="233" t="s">
        <v>58</v>
      </c>
      <c r="C18" s="234"/>
      <c r="D18" s="127"/>
      <c r="E18" s="133">
        <f>E17+E11</f>
        <v>1100</v>
      </c>
      <c r="F18" s="133">
        <f>F17+F11</f>
        <v>618</v>
      </c>
      <c r="G18" s="145">
        <f t="shared" si="30"/>
        <v>0.56181818181818177</v>
      </c>
      <c r="H18" s="134">
        <f>H17+H11</f>
        <v>1500</v>
      </c>
      <c r="I18" s="134">
        <f>I17+I11</f>
        <v>414</v>
      </c>
      <c r="J18" s="145">
        <f t="shared" si="31"/>
        <v>0.27600000000000002</v>
      </c>
      <c r="K18" s="126">
        <f>K17+K11</f>
        <v>1100</v>
      </c>
      <c r="L18" s="126">
        <f>L17+L11</f>
        <v>162</v>
      </c>
      <c r="M18" s="145">
        <f t="shared" si="32"/>
        <v>0.14727272727272728</v>
      </c>
      <c r="N18" s="126">
        <f>N17+N11</f>
        <v>1500</v>
      </c>
      <c r="O18" s="126">
        <f>O17+O11</f>
        <v>369</v>
      </c>
      <c r="P18" s="145">
        <f t="shared" si="33"/>
        <v>0.246</v>
      </c>
      <c r="Q18" s="133">
        <f>Q17+Q11</f>
        <v>1100</v>
      </c>
      <c r="R18" s="133">
        <f>R17+R11</f>
        <v>685</v>
      </c>
      <c r="S18" s="145">
        <f t="shared" si="34"/>
        <v>0.62272727272727268</v>
      </c>
      <c r="T18" s="126">
        <f>T17+T11</f>
        <v>1500</v>
      </c>
      <c r="U18" s="126">
        <f>U17+U11</f>
        <v>167</v>
      </c>
      <c r="V18" s="145">
        <f t="shared" si="35"/>
        <v>0.11133333333333334</v>
      </c>
      <c r="W18" s="126">
        <f>W17+W11</f>
        <v>7800</v>
      </c>
      <c r="X18" s="126">
        <f>X17+X11</f>
        <v>2416</v>
      </c>
      <c r="Y18" s="145">
        <f t="shared" si="36"/>
        <v>0.30974358974358973</v>
      </c>
      <c r="Z18" s="133">
        <f>Z17+Z11</f>
        <v>1500</v>
      </c>
      <c r="AA18" s="133">
        <f>AA17+AA11</f>
        <v>592</v>
      </c>
      <c r="AB18" s="146">
        <f t="shared" si="1"/>
        <v>0.39466666666666667</v>
      </c>
      <c r="AC18" s="126">
        <f>AC17+AC11</f>
        <v>1500</v>
      </c>
      <c r="AD18" s="126">
        <f>AD17+AD11</f>
        <v>930</v>
      </c>
      <c r="AE18" s="146">
        <f t="shared" si="37"/>
        <v>0.62</v>
      </c>
      <c r="AF18" s="134">
        <f>AF17+AF11</f>
        <v>1100</v>
      </c>
      <c r="AG18" s="134">
        <f>AG17+AG11</f>
        <v>0</v>
      </c>
      <c r="AH18" s="145">
        <f t="shared" si="38"/>
        <v>0</v>
      </c>
      <c r="AI18" s="126">
        <f>AI17+AI11</f>
        <v>1500</v>
      </c>
      <c r="AJ18" s="126">
        <f>AJ17+AJ11</f>
        <v>0</v>
      </c>
      <c r="AK18" s="145">
        <f t="shared" si="39"/>
        <v>0</v>
      </c>
      <c r="AL18" s="126">
        <f>AL17+AL11</f>
        <v>1100</v>
      </c>
      <c r="AM18" s="126">
        <f>AM17+AM11</f>
        <v>0</v>
      </c>
      <c r="AN18" s="145">
        <f t="shared" si="40"/>
        <v>0</v>
      </c>
      <c r="AO18" s="126">
        <f>AO17+AO11</f>
        <v>1500</v>
      </c>
      <c r="AP18" s="126">
        <f>AP17+AP11</f>
        <v>0</v>
      </c>
      <c r="AQ18" s="145">
        <f t="shared" si="41"/>
        <v>0</v>
      </c>
      <c r="AR18" s="126">
        <f>AR17+AR11</f>
        <v>8950.8333333333321</v>
      </c>
      <c r="AS18" s="126">
        <f>AS17+AS11</f>
        <v>1523</v>
      </c>
      <c r="AT18" s="145">
        <f t="shared" si="42"/>
        <v>0.17015175495763898</v>
      </c>
      <c r="AU18" s="126">
        <f>AU17+AU11</f>
        <v>16750.833333333332</v>
      </c>
      <c r="AV18" s="126">
        <f>AV17+AV11</f>
        <v>3938</v>
      </c>
      <c r="AW18" s="147">
        <f t="shared" si="43"/>
        <v>0.23509278145365903</v>
      </c>
      <c r="AX18" s="65"/>
      <c r="AY18" s="65"/>
      <c r="BA18" s="54"/>
    </row>
    <row r="19" spans="1:59" ht="40.049999999999997" customHeight="1">
      <c r="B19" s="224" t="s">
        <v>17</v>
      </c>
      <c r="C19" s="225"/>
      <c r="D19" s="226"/>
      <c r="E19" s="112" t="s">
        <v>5</v>
      </c>
      <c r="F19" s="113" t="s">
        <v>4</v>
      </c>
      <c r="G19" s="114" t="s">
        <v>56</v>
      </c>
      <c r="H19" s="115" t="s">
        <v>5</v>
      </c>
      <c r="I19" s="116" t="s">
        <v>4</v>
      </c>
      <c r="J19" s="114" t="s">
        <v>56</v>
      </c>
      <c r="K19" s="116" t="s">
        <v>5</v>
      </c>
      <c r="L19" s="116" t="s">
        <v>4</v>
      </c>
      <c r="M19" s="114" t="s">
        <v>56</v>
      </c>
      <c r="N19" s="116" t="s">
        <v>5</v>
      </c>
      <c r="O19" s="116" t="s">
        <v>4</v>
      </c>
      <c r="P19" s="114" t="s">
        <v>56</v>
      </c>
      <c r="Q19" s="112" t="s">
        <v>5</v>
      </c>
      <c r="R19" s="116" t="s">
        <v>4</v>
      </c>
      <c r="S19" s="114" t="s">
        <v>56</v>
      </c>
      <c r="T19" s="116" t="s">
        <v>5</v>
      </c>
      <c r="U19" s="116" t="s">
        <v>4</v>
      </c>
      <c r="V19" s="114" t="s">
        <v>56</v>
      </c>
      <c r="W19" s="116" t="s">
        <v>5</v>
      </c>
      <c r="X19" s="116" t="s">
        <v>4</v>
      </c>
      <c r="Y19" s="114" t="s">
        <v>56</v>
      </c>
      <c r="Z19" s="112" t="s">
        <v>5</v>
      </c>
      <c r="AA19" s="116" t="s">
        <v>4</v>
      </c>
      <c r="AB19" s="114" t="s">
        <v>56</v>
      </c>
      <c r="AC19" s="116" t="s">
        <v>5</v>
      </c>
      <c r="AD19" s="116" t="s">
        <v>4</v>
      </c>
      <c r="AE19" s="114" t="s">
        <v>56</v>
      </c>
      <c r="AF19" s="116" t="s">
        <v>5</v>
      </c>
      <c r="AG19" s="116" t="s">
        <v>4</v>
      </c>
      <c r="AH19" s="114" t="s">
        <v>56</v>
      </c>
      <c r="AI19" s="116" t="s">
        <v>5</v>
      </c>
      <c r="AJ19" s="116" t="s">
        <v>4</v>
      </c>
      <c r="AK19" s="114" t="s">
        <v>56</v>
      </c>
      <c r="AL19" s="116" t="s">
        <v>5</v>
      </c>
      <c r="AM19" s="116" t="s">
        <v>4</v>
      </c>
      <c r="AN19" s="114" t="s">
        <v>56</v>
      </c>
      <c r="AO19" s="116" t="s">
        <v>5</v>
      </c>
      <c r="AP19" s="116" t="s">
        <v>4</v>
      </c>
      <c r="AQ19" s="114" t="s">
        <v>56</v>
      </c>
      <c r="AR19" s="116" t="s">
        <v>5</v>
      </c>
      <c r="AS19" s="116" t="s">
        <v>4</v>
      </c>
      <c r="AT19" s="114" t="s">
        <v>56</v>
      </c>
      <c r="AU19" s="116" t="s">
        <v>5</v>
      </c>
      <c r="AV19" s="116" t="s">
        <v>4</v>
      </c>
      <c r="AW19" s="114" t="s">
        <v>56</v>
      </c>
      <c r="AX19" s="65"/>
      <c r="AY19" s="65"/>
      <c r="BA19" s="54"/>
    </row>
    <row r="20" spans="1:59" ht="40.049999999999997" customHeight="1">
      <c r="B20" s="227" t="s">
        <v>40</v>
      </c>
      <c r="C20" s="228"/>
      <c r="D20" s="229"/>
      <c r="E20" s="76"/>
      <c r="F20" s="67"/>
      <c r="G20" s="96" t="e">
        <f>F20/E20</f>
        <v>#DIV/0!</v>
      </c>
      <c r="H20" s="72"/>
      <c r="I20" s="67">
        <v>400</v>
      </c>
      <c r="J20" s="96" t="e">
        <f>I20/H20</f>
        <v>#DIV/0!</v>
      </c>
      <c r="K20" s="67"/>
      <c r="L20" s="67">
        <v>800</v>
      </c>
      <c r="M20" s="96" t="e">
        <f>L20/K20</f>
        <v>#DIV/0!</v>
      </c>
      <c r="N20" s="67"/>
      <c r="O20" s="67"/>
      <c r="P20" s="96" t="e">
        <f>O20/N20</f>
        <v>#DIV/0!</v>
      </c>
      <c r="Q20" s="76"/>
      <c r="R20" s="67">
        <v>0</v>
      </c>
      <c r="S20" s="96" t="e">
        <f>R20/Q20</f>
        <v>#DIV/0!</v>
      </c>
      <c r="T20" s="67"/>
      <c r="U20" s="67">
        <v>0</v>
      </c>
      <c r="V20" s="96" t="e">
        <f>U20/T20</f>
        <v>#DIV/0!</v>
      </c>
      <c r="W20" s="67">
        <f t="shared" ref="W20:X23" si="44">E20+H20+K20+N20+Q20+T20</f>
        <v>0</v>
      </c>
      <c r="X20" s="67">
        <f t="shared" si="44"/>
        <v>1200</v>
      </c>
      <c r="Y20" s="96" t="e">
        <f>X20/W20</f>
        <v>#DIV/0!</v>
      </c>
      <c r="Z20" s="76"/>
      <c r="AA20" s="67">
        <v>0</v>
      </c>
      <c r="AB20" s="96" t="e">
        <f>AA20/Z20</f>
        <v>#DIV/0!</v>
      </c>
      <c r="AC20" s="67"/>
      <c r="AD20" s="67">
        <v>0</v>
      </c>
      <c r="AE20" s="96" t="e">
        <f>AD20/AC20</f>
        <v>#DIV/0!</v>
      </c>
      <c r="AF20" s="67"/>
      <c r="AG20" s="67"/>
      <c r="AH20" s="96" t="e">
        <f>AG20/AF20</f>
        <v>#DIV/0!</v>
      </c>
      <c r="AI20" s="67"/>
      <c r="AJ20" s="67"/>
      <c r="AK20" s="96" t="e">
        <f>AJ20/AI20</f>
        <v>#DIV/0!</v>
      </c>
      <c r="AL20" s="67"/>
      <c r="AM20" s="67"/>
      <c r="AN20" s="96" t="e">
        <f>AM20/AL20</f>
        <v>#DIV/0!</v>
      </c>
      <c r="AO20" s="67"/>
      <c r="AP20" s="67"/>
      <c r="AQ20" s="96" t="e">
        <f>AP20/AO20</f>
        <v>#DIV/0!</v>
      </c>
      <c r="AR20" s="67">
        <f t="shared" ref="AR20:AS23" si="45">Z20+AC20+AF20+AI20+AL20+AO20</f>
        <v>0</v>
      </c>
      <c r="AS20" s="67">
        <f t="shared" si="45"/>
        <v>0</v>
      </c>
      <c r="AT20" s="96" t="e">
        <f>AS20/AR20</f>
        <v>#DIV/0!</v>
      </c>
      <c r="AU20" s="67">
        <f t="shared" ref="AU20:AV23" si="46">W20+AR20</f>
        <v>0</v>
      </c>
      <c r="AV20" s="67">
        <f t="shared" si="46"/>
        <v>1200</v>
      </c>
      <c r="AW20" s="101" t="e">
        <f>AV20/AU20</f>
        <v>#DIV/0!</v>
      </c>
      <c r="AX20" s="65"/>
      <c r="AY20" s="65"/>
      <c r="BA20" s="54"/>
    </row>
    <row r="21" spans="1:59" ht="40.049999999999997" customHeight="1">
      <c r="B21" s="207" t="s">
        <v>41</v>
      </c>
      <c r="C21" s="208"/>
      <c r="D21" s="209"/>
      <c r="E21" s="79">
        <v>3000</v>
      </c>
      <c r="F21" s="67">
        <v>800</v>
      </c>
      <c r="G21" s="96">
        <f>F21/E21</f>
        <v>0.26666666666666666</v>
      </c>
      <c r="H21" s="75">
        <v>3000</v>
      </c>
      <c r="I21" s="67">
        <v>2400</v>
      </c>
      <c r="J21" s="96">
        <f>I21/H21</f>
        <v>0.8</v>
      </c>
      <c r="K21" s="70">
        <v>3000</v>
      </c>
      <c r="L21" s="67">
        <v>2400</v>
      </c>
      <c r="M21" s="96">
        <f>L21/K21</f>
        <v>0.8</v>
      </c>
      <c r="N21" s="70">
        <v>3000</v>
      </c>
      <c r="O21" s="67">
        <v>1000</v>
      </c>
      <c r="P21" s="96">
        <f>O21/N21</f>
        <v>0.33333333333333331</v>
      </c>
      <c r="Q21" s="79">
        <v>3000</v>
      </c>
      <c r="R21" s="67">
        <v>600</v>
      </c>
      <c r="S21" s="96">
        <f>R21/Q21</f>
        <v>0.2</v>
      </c>
      <c r="T21" s="70">
        <v>3000</v>
      </c>
      <c r="U21" s="67">
        <v>1200</v>
      </c>
      <c r="V21" s="96">
        <f>U21/T21</f>
        <v>0.4</v>
      </c>
      <c r="W21" s="67">
        <f t="shared" si="44"/>
        <v>18000</v>
      </c>
      <c r="X21" s="67">
        <f t="shared" si="44"/>
        <v>8400</v>
      </c>
      <c r="Y21" s="96">
        <f>X21/W21</f>
        <v>0.46666666666666667</v>
      </c>
      <c r="Z21" s="79">
        <v>3000</v>
      </c>
      <c r="AA21" s="67">
        <v>800</v>
      </c>
      <c r="AB21" s="96">
        <f>AA21/Z21</f>
        <v>0.26666666666666666</v>
      </c>
      <c r="AC21" s="70">
        <v>3000</v>
      </c>
      <c r="AD21" s="67">
        <v>1400</v>
      </c>
      <c r="AE21" s="96">
        <f>AD21/AC21</f>
        <v>0.46666666666666667</v>
      </c>
      <c r="AF21" s="70">
        <v>3000</v>
      </c>
      <c r="AG21" s="67"/>
      <c r="AH21" s="96">
        <f>AG21/AF21</f>
        <v>0</v>
      </c>
      <c r="AI21" s="70">
        <v>3000</v>
      </c>
      <c r="AJ21" s="67"/>
      <c r="AK21" s="96">
        <f>AJ21/AI21</f>
        <v>0</v>
      </c>
      <c r="AL21" s="70">
        <v>3000</v>
      </c>
      <c r="AM21" s="67"/>
      <c r="AN21" s="96">
        <f>AM21/AL21</f>
        <v>0</v>
      </c>
      <c r="AO21" s="70">
        <v>3000</v>
      </c>
      <c r="AP21" s="67"/>
      <c r="AQ21" s="96">
        <f>AP21/AO21</f>
        <v>0</v>
      </c>
      <c r="AR21" s="67">
        <f t="shared" si="45"/>
        <v>18000</v>
      </c>
      <c r="AS21" s="67">
        <f t="shared" si="45"/>
        <v>2200</v>
      </c>
      <c r="AT21" s="96">
        <f>AS21/AR21</f>
        <v>0.12222222222222222</v>
      </c>
      <c r="AU21" s="67">
        <f t="shared" si="46"/>
        <v>36000</v>
      </c>
      <c r="AV21" s="67">
        <f t="shared" si="46"/>
        <v>10600</v>
      </c>
      <c r="AW21" s="101">
        <f>AV21/AU21</f>
        <v>0.29444444444444445</v>
      </c>
      <c r="AX21" s="65"/>
      <c r="AY21" s="65"/>
      <c r="BA21" s="54"/>
    </row>
    <row r="22" spans="1:59" ht="40.049999999999997" customHeight="1">
      <c r="B22" s="201" t="s">
        <v>38</v>
      </c>
      <c r="C22" s="202"/>
      <c r="D22" s="203"/>
      <c r="E22" s="76"/>
      <c r="F22" s="67">
        <v>720</v>
      </c>
      <c r="G22" s="96" t="e">
        <f>F22/E22</f>
        <v>#DIV/0!</v>
      </c>
      <c r="H22" s="72"/>
      <c r="I22" s="67">
        <v>390</v>
      </c>
      <c r="J22" s="96" t="e">
        <f>I22/H22</f>
        <v>#DIV/0!</v>
      </c>
      <c r="K22" s="67"/>
      <c r="L22" s="67">
        <v>450</v>
      </c>
      <c r="M22" s="96" t="e">
        <f>L22/K22</f>
        <v>#DIV/0!</v>
      </c>
      <c r="N22" s="67"/>
      <c r="O22" s="67">
        <v>210</v>
      </c>
      <c r="P22" s="96" t="e">
        <f>O22/N22</f>
        <v>#DIV/0!</v>
      </c>
      <c r="Q22" s="76"/>
      <c r="R22" s="67">
        <v>870</v>
      </c>
      <c r="S22" s="96" t="e">
        <f>R22/Q22</f>
        <v>#DIV/0!</v>
      </c>
      <c r="T22" s="67"/>
      <c r="U22" s="67">
        <v>630</v>
      </c>
      <c r="V22" s="96" t="e">
        <f>U22/T22</f>
        <v>#DIV/0!</v>
      </c>
      <c r="W22" s="67">
        <f t="shared" si="44"/>
        <v>0</v>
      </c>
      <c r="X22" s="67">
        <f t="shared" si="44"/>
        <v>3270</v>
      </c>
      <c r="Y22" s="96" t="e">
        <f>X22/W22</f>
        <v>#DIV/0!</v>
      </c>
      <c r="Z22" s="76"/>
      <c r="AA22" s="67">
        <v>390</v>
      </c>
      <c r="AB22" s="96" t="e">
        <f>AA22/Z22</f>
        <v>#DIV/0!</v>
      </c>
      <c r="AC22" s="67"/>
      <c r="AD22" s="67">
        <v>300</v>
      </c>
      <c r="AE22" s="96" t="e">
        <f>AD22/AC22</f>
        <v>#DIV/0!</v>
      </c>
      <c r="AF22" s="67"/>
      <c r="AG22" s="67"/>
      <c r="AH22" s="96" t="e">
        <f>AG22/AF22</f>
        <v>#DIV/0!</v>
      </c>
      <c r="AI22" s="67"/>
      <c r="AJ22" s="67"/>
      <c r="AK22" s="96" t="e">
        <f>AJ22/AI22</f>
        <v>#DIV/0!</v>
      </c>
      <c r="AL22" s="67"/>
      <c r="AM22" s="67"/>
      <c r="AN22" s="96" t="e">
        <f>AM22/AL22</f>
        <v>#DIV/0!</v>
      </c>
      <c r="AO22" s="67"/>
      <c r="AP22" s="67"/>
      <c r="AQ22" s="96" t="e">
        <f>AP22/AO22</f>
        <v>#DIV/0!</v>
      </c>
      <c r="AR22" s="67">
        <f t="shared" si="45"/>
        <v>0</v>
      </c>
      <c r="AS22" s="67">
        <f t="shared" si="45"/>
        <v>690</v>
      </c>
      <c r="AT22" s="96" t="e">
        <f>AS22/AR22</f>
        <v>#DIV/0!</v>
      </c>
      <c r="AU22" s="67">
        <f t="shared" si="46"/>
        <v>0</v>
      </c>
      <c r="AV22" s="67">
        <f t="shared" si="46"/>
        <v>3960</v>
      </c>
      <c r="AW22" s="101" t="e">
        <f>AV22/AU22</f>
        <v>#DIV/0!</v>
      </c>
      <c r="AX22" s="65"/>
      <c r="AY22" s="65"/>
      <c r="BA22" s="54"/>
    </row>
    <row r="23" spans="1:59" ht="40.049999999999997" customHeight="1">
      <c r="B23" s="230" t="s">
        <v>37</v>
      </c>
      <c r="C23" s="231"/>
      <c r="D23" s="232"/>
      <c r="E23" s="76">
        <v>1500</v>
      </c>
      <c r="F23" s="67">
        <v>1600</v>
      </c>
      <c r="G23" s="96">
        <f>F23/E23</f>
        <v>1.0666666666666667</v>
      </c>
      <c r="H23" s="72">
        <v>1500</v>
      </c>
      <c r="I23" s="67">
        <v>1680</v>
      </c>
      <c r="J23" s="96">
        <f>I23/H23</f>
        <v>1.1200000000000001</v>
      </c>
      <c r="K23" s="67">
        <v>1500</v>
      </c>
      <c r="L23" s="67">
        <v>1690</v>
      </c>
      <c r="M23" s="96">
        <f>L23/K23</f>
        <v>1.1266666666666667</v>
      </c>
      <c r="N23" s="67">
        <v>1500</v>
      </c>
      <c r="O23" s="67">
        <v>1730</v>
      </c>
      <c r="P23" s="96">
        <f>O23/N23</f>
        <v>1.1533333333333333</v>
      </c>
      <c r="Q23" s="76">
        <v>1500</v>
      </c>
      <c r="R23" s="67">
        <v>1770</v>
      </c>
      <c r="S23" s="96">
        <f>R23/Q23</f>
        <v>1.18</v>
      </c>
      <c r="T23" s="67">
        <v>1500</v>
      </c>
      <c r="U23" s="67">
        <v>1800</v>
      </c>
      <c r="V23" s="96">
        <f>U23/T23</f>
        <v>1.2</v>
      </c>
      <c r="W23" s="67">
        <f t="shared" si="44"/>
        <v>9000</v>
      </c>
      <c r="X23" s="67">
        <f t="shared" si="44"/>
        <v>10270</v>
      </c>
      <c r="Y23" s="96">
        <f>X23/W23</f>
        <v>1.1411111111111112</v>
      </c>
      <c r="Z23" s="76">
        <v>1500</v>
      </c>
      <c r="AA23" s="67">
        <v>1830</v>
      </c>
      <c r="AB23" s="96">
        <f>AA23/Z23</f>
        <v>1.22</v>
      </c>
      <c r="AC23" s="67">
        <v>1500</v>
      </c>
      <c r="AD23" s="67">
        <v>1930</v>
      </c>
      <c r="AE23" s="96">
        <f>AD23/AC23</f>
        <v>1.2866666666666666</v>
      </c>
      <c r="AF23" s="67">
        <v>1500</v>
      </c>
      <c r="AG23" s="67"/>
      <c r="AH23" s="96">
        <f>AG23/AF23</f>
        <v>0</v>
      </c>
      <c r="AI23" s="67">
        <v>1500</v>
      </c>
      <c r="AJ23" s="67"/>
      <c r="AK23" s="96">
        <f>AJ23/AI23</f>
        <v>0</v>
      </c>
      <c r="AL23" s="67">
        <v>1500</v>
      </c>
      <c r="AM23" s="67"/>
      <c r="AN23" s="96">
        <f>AM23/AL23</f>
        <v>0</v>
      </c>
      <c r="AO23" s="67">
        <v>1500</v>
      </c>
      <c r="AP23" s="67"/>
      <c r="AQ23" s="96">
        <f>AP23/AO23</f>
        <v>0</v>
      </c>
      <c r="AR23" s="67">
        <f t="shared" si="45"/>
        <v>9000</v>
      </c>
      <c r="AS23" s="67">
        <f t="shared" si="45"/>
        <v>3760</v>
      </c>
      <c r="AT23" s="96">
        <f>AS23/AR23</f>
        <v>0.4177777777777778</v>
      </c>
      <c r="AU23" s="67">
        <f t="shared" si="46"/>
        <v>18000</v>
      </c>
      <c r="AV23" s="67">
        <f t="shared" si="46"/>
        <v>14030</v>
      </c>
      <c r="AW23" s="101">
        <f>AV23/AU23</f>
        <v>0.7794444444444445</v>
      </c>
      <c r="AX23" s="65"/>
      <c r="AY23" s="65"/>
      <c r="BA23" s="54"/>
    </row>
    <row r="24" spans="1:59" ht="40.049999999999997" customHeight="1" thickBot="1">
      <c r="B24" s="217" t="s">
        <v>15</v>
      </c>
      <c r="C24" s="218"/>
      <c r="D24" s="219"/>
      <c r="E24" s="102">
        <f>SUM(E20:E23)</f>
        <v>4500</v>
      </c>
      <c r="F24" s="94">
        <f t="shared" ref="F24:AU24" si="47">SUM(F20:F23)</f>
        <v>3120</v>
      </c>
      <c r="G24" s="91">
        <f>F24/E24</f>
        <v>0.69333333333333336</v>
      </c>
      <c r="H24" s="85">
        <f t="shared" si="47"/>
        <v>4500</v>
      </c>
      <c r="I24" s="125">
        <f>I23+I22+I21+I20</f>
        <v>4870</v>
      </c>
      <c r="J24" s="91">
        <f>I24/H24</f>
        <v>1.0822222222222222</v>
      </c>
      <c r="K24" s="86">
        <f t="shared" si="47"/>
        <v>4500</v>
      </c>
      <c r="L24" s="86">
        <f t="shared" si="47"/>
        <v>5340</v>
      </c>
      <c r="M24" s="91">
        <f>L24/K24</f>
        <v>1.1866666666666668</v>
      </c>
      <c r="N24" s="86">
        <f t="shared" si="47"/>
        <v>4500</v>
      </c>
      <c r="O24" s="90">
        <f t="shared" si="47"/>
        <v>2940</v>
      </c>
      <c r="P24" s="91">
        <f>O24/N24</f>
        <v>0.65333333333333332</v>
      </c>
      <c r="Q24" s="118">
        <f t="shared" si="47"/>
        <v>4500</v>
      </c>
      <c r="R24" s="119">
        <f t="shared" si="47"/>
        <v>3240</v>
      </c>
      <c r="S24" s="120">
        <f>R24/Q24</f>
        <v>0.72</v>
      </c>
      <c r="T24" s="103">
        <f t="shared" si="47"/>
        <v>4500</v>
      </c>
      <c r="U24" s="86">
        <f t="shared" si="47"/>
        <v>3630</v>
      </c>
      <c r="V24" s="91">
        <f>U24/T24</f>
        <v>0.80666666666666664</v>
      </c>
      <c r="W24" s="85">
        <f t="shared" si="47"/>
        <v>27000</v>
      </c>
      <c r="X24" s="86">
        <f t="shared" si="47"/>
        <v>23140</v>
      </c>
      <c r="Y24" s="104">
        <f>X24/W24</f>
        <v>0.85703703703703704</v>
      </c>
      <c r="Z24" s="121">
        <f t="shared" si="47"/>
        <v>4500</v>
      </c>
      <c r="AA24" s="119">
        <f t="shared" si="47"/>
        <v>3020</v>
      </c>
      <c r="AB24" s="120">
        <f>AA24/Z24</f>
        <v>0.6711111111111111</v>
      </c>
      <c r="AC24" s="86">
        <f t="shared" si="47"/>
        <v>4500</v>
      </c>
      <c r="AD24" s="86">
        <f t="shared" si="47"/>
        <v>3630</v>
      </c>
      <c r="AE24" s="91">
        <f>AD24/AC24</f>
        <v>0.80666666666666664</v>
      </c>
      <c r="AF24" s="86">
        <f t="shared" si="47"/>
        <v>4500</v>
      </c>
      <c r="AG24" s="86">
        <f t="shared" si="47"/>
        <v>0</v>
      </c>
      <c r="AH24" s="91">
        <f>AG24/AF24</f>
        <v>0</v>
      </c>
      <c r="AI24" s="86">
        <f t="shared" si="47"/>
        <v>4500</v>
      </c>
      <c r="AJ24" s="86">
        <f t="shared" si="47"/>
        <v>0</v>
      </c>
      <c r="AK24" s="91">
        <f>AJ24/AI24</f>
        <v>0</v>
      </c>
      <c r="AL24" s="86">
        <f t="shared" si="47"/>
        <v>4500</v>
      </c>
      <c r="AM24" s="86">
        <f t="shared" si="47"/>
        <v>0</v>
      </c>
      <c r="AN24" s="91">
        <f>AM24/AL24</f>
        <v>0</v>
      </c>
      <c r="AO24" s="86">
        <f t="shared" si="47"/>
        <v>4500</v>
      </c>
      <c r="AP24" s="86">
        <f t="shared" si="47"/>
        <v>0</v>
      </c>
      <c r="AQ24" s="91">
        <f>AP24/AO24</f>
        <v>0</v>
      </c>
      <c r="AR24" s="86">
        <f>SUM(AR20:AR23)</f>
        <v>27000</v>
      </c>
      <c r="AS24" s="86">
        <f t="shared" ref="AS24" si="48">SUM(AS20:AS23)</f>
        <v>6650</v>
      </c>
      <c r="AT24" s="104">
        <f>AS24/AR24</f>
        <v>0.24629629629629629</v>
      </c>
      <c r="AU24" s="86">
        <f t="shared" si="47"/>
        <v>54000</v>
      </c>
      <c r="AV24" s="86">
        <f>SUM(AV23+AV22+AV21+AV20)</f>
        <v>29790</v>
      </c>
      <c r="AW24" s="105">
        <f>AV24/AU24</f>
        <v>0.55166666666666664</v>
      </c>
    </row>
    <row r="25" spans="1:59" s="63" customFormat="1" ht="141.75" customHeight="1">
      <c r="A25" s="64"/>
      <c r="O25" s="83"/>
      <c r="AU25" s="132"/>
      <c r="AV25" s="132"/>
      <c r="AW25" s="132"/>
    </row>
    <row r="26" spans="1:59" ht="80.25" customHeight="1">
      <c r="B26" s="80"/>
      <c r="C26" s="80"/>
      <c r="D26" s="80"/>
      <c r="E26" s="220"/>
      <c r="F26" s="220"/>
      <c r="G26" s="80"/>
      <c r="H26" s="80"/>
      <c r="I26" s="80"/>
      <c r="J26" s="80"/>
      <c r="K26" s="80"/>
      <c r="L26" s="80"/>
      <c r="M26" s="80"/>
      <c r="N26" s="80"/>
      <c r="O26" s="80"/>
      <c r="P26" s="80"/>
      <c r="Q26" s="80"/>
      <c r="R26" s="80"/>
      <c r="S26" s="80"/>
      <c r="T26" s="80"/>
      <c r="U26" s="80"/>
      <c r="V26" s="80"/>
      <c r="W26" s="80"/>
      <c r="X26" s="80"/>
      <c r="Y26" s="80"/>
      <c r="Z26" s="80"/>
      <c r="AA26" s="80"/>
      <c r="AB26" s="80"/>
      <c r="AC26" s="80"/>
      <c r="AD26" s="80"/>
      <c r="AE26" s="80"/>
      <c r="AF26" s="80"/>
      <c r="AG26" s="80"/>
      <c r="AH26" s="80"/>
      <c r="AI26" s="80"/>
      <c r="AJ26" s="80"/>
      <c r="AK26" s="80"/>
      <c r="AL26" s="80"/>
      <c r="AM26" s="80"/>
      <c r="AN26" s="80"/>
      <c r="AO26" s="80"/>
      <c r="AP26" s="80"/>
      <c r="AQ26" s="80"/>
      <c r="AR26" s="80"/>
      <c r="AS26" s="80"/>
      <c r="AT26" s="80"/>
      <c r="AU26" s="80"/>
      <c r="AV26" s="80"/>
      <c r="AW26" s="80"/>
    </row>
    <row r="27" spans="1:59" s="58" customFormat="1" ht="20.25" customHeight="1">
      <c r="A27" s="54"/>
      <c r="B27" s="55"/>
      <c r="E27" s="65"/>
      <c r="F27" s="65"/>
      <c r="G27" s="65"/>
      <c r="H27" s="65"/>
      <c r="I27" s="57"/>
      <c r="J27" s="65"/>
      <c r="K27" s="57"/>
      <c r="L27" s="65"/>
      <c r="M27" s="65"/>
      <c r="N27" s="65"/>
      <c r="O27" s="65"/>
      <c r="P27" s="65"/>
      <c r="Q27" s="65"/>
      <c r="R27" s="65"/>
      <c r="S27" s="65"/>
      <c r="T27" s="65"/>
      <c r="U27" s="65"/>
      <c r="V27" s="65"/>
      <c r="W27" s="65"/>
      <c r="X27" s="65"/>
      <c r="Y27" s="57"/>
      <c r="Z27" s="65"/>
      <c r="AA27" s="65"/>
      <c r="AB27" s="65"/>
      <c r="AC27" s="65"/>
      <c r="AD27" s="57"/>
      <c r="AE27" s="65"/>
      <c r="AF27" s="57"/>
      <c r="AG27" s="65"/>
      <c r="AH27" s="65"/>
      <c r="AI27" s="65"/>
      <c r="AJ27" s="65"/>
      <c r="AK27" s="65"/>
      <c r="AL27" s="65"/>
      <c r="AM27" s="65"/>
      <c r="AN27" s="65"/>
      <c r="AO27" s="65"/>
      <c r="AP27" s="65"/>
      <c r="AQ27" s="65"/>
      <c r="AR27" s="65"/>
      <c r="AS27" s="65"/>
      <c r="AT27" s="57"/>
      <c r="AU27" s="65"/>
      <c r="AV27" s="65"/>
      <c r="AW27" s="66"/>
      <c r="BB27" s="59"/>
      <c r="BC27" s="59"/>
      <c r="BD27" s="59"/>
      <c r="BE27" s="59"/>
      <c r="BF27" s="59"/>
      <c r="BG27" s="59"/>
    </row>
    <row r="28" spans="1:59" s="58" customFormat="1" ht="20.25" customHeight="1">
      <c r="A28" s="54"/>
      <c r="B28" s="55"/>
      <c r="E28" s="65"/>
      <c r="F28" s="65"/>
      <c r="G28" s="65"/>
      <c r="H28" s="65"/>
      <c r="I28" s="57"/>
      <c r="J28" s="65"/>
      <c r="K28" s="57"/>
      <c r="L28" s="65"/>
      <c r="M28" s="65"/>
      <c r="N28" s="65"/>
      <c r="O28" s="65"/>
      <c r="P28" s="65"/>
      <c r="Q28" s="65"/>
      <c r="R28" s="65"/>
      <c r="S28" s="65"/>
      <c r="T28" s="65"/>
      <c r="U28" s="65"/>
      <c r="V28" s="65"/>
      <c r="W28" s="65"/>
      <c r="X28" s="65"/>
      <c r="Y28" s="57"/>
      <c r="Z28" s="65"/>
      <c r="AA28" s="65"/>
      <c r="AB28" s="65"/>
      <c r="AC28" s="65"/>
      <c r="AD28" s="57"/>
      <c r="AE28" s="65"/>
      <c r="AF28" s="57"/>
      <c r="AG28" s="65"/>
      <c r="AH28" s="65"/>
      <c r="AI28" s="65"/>
      <c r="AJ28" s="65"/>
      <c r="AK28" s="65"/>
      <c r="AL28" s="65"/>
      <c r="AM28" s="65"/>
      <c r="AN28" s="65"/>
      <c r="AO28" s="65"/>
      <c r="AP28" s="65"/>
      <c r="AQ28" s="65"/>
      <c r="AR28" s="65"/>
      <c r="AS28" s="65"/>
      <c r="AT28" s="57"/>
      <c r="AU28" s="65"/>
      <c r="AV28" s="65"/>
      <c r="AW28" s="66"/>
      <c r="BB28" s="59"/>
      <c r="BC28" s="59"/>
      <c r="BD28" s="59"/>
      <c r="BE28" s="59"/>
      <c r="BF28" s="59"/>
      <c r="BG28" s="59"/>
    </row>
    <row r="29" spans="1:59" s="58" customFormat="1" ht="20.25" customHeight="1">
      <c r="A29" s="54"/>
      <c r="B29" s="55"/>
      <c r="E29" s="65"/>
      <c r="F29" s="65"/>
      <c r="G29" s="65"/>
      <c r="H29" s="65"/>
      <c r="I29" s="57"/>
      <c r="J29" s="65"/>
      <c r="K29" s="57"/>
      <c r="L29" s="57"/>
      <c r="M29" s="65"/>
      <c r="N29" s="57"/>
      <c r="O29" s="57"/>
      <c r="P29" s="65"/>
      <c r="Q29" s="57"/>
      <c r="R29" s="57"/>
      <c r="S29" s="65"/>
      <c r="T29" s="57"/>
      <c r="U29" s="57"/>
      <c r="V29" s="65"/>
      <c r="W29" s="57"/>
      <c r="X29" s="57"/>
      <c r="Y29" s="57"/>
      <c r="Z29" s="65"/>
      <c r="AA29" s="65"/>
      <c r="AB29" s="65"/>
      <c r="AC29" s="65"/>
      <c r="AD29" s="57"/>
      <c r="AE29" s="65"/>
      <c r="AF29" s="57"/>
      <c r="AG29" s="57"/>
      <c r="AH29" s="65"/>
      <c r="AI29" s="57"/>
      <c r="AJ29" s="57"/>
      <c r="AK29" s="65"/>
      <c r="AL29" s="57"/>
      <c r="AM29" s="57"/>
      <c r="AN29" s="65"/>
      <c r="AO29" s="57"/>
      <c r="AP29" s="57"/>
      <c r="AQ29" s="65"/>
      <c r="AR29" s="57"/>
      <c r="AS29" s="57"/>
      <c r="AT29" s="57"/>
      <c r="AU29" s="57"/>
      <c r="AV29" s="57"/>
      <c r="AW29" s="66"/>
      <c r="BB29" s="59"/>
      <c r="BC29" s="59"/>
      <c r="BD29" s="59"/>
      <c r="BE29" s="59"/>
      <c r="BF29" s="59"/>
      <c r="BG29" s="59"/>
    </row>
    <row r="30" spans="1:59" s="58" customFormat="1" ht="20.25" customHeight="1">
      <c r="A30" s="54"/>
      <c r="B30" s="55"/>
      <c r="C30" s="56"/>
      <c r="D30" s="56"/>
      <c r="E30" s="57"/>
      <c r="F30" s="57"/>
      <c r="G30" s="57"/>
      <c r="H30" s="57"/>
      <c r="I30" s="57"/>
      <c r="J30" s="57"/>
      <c r="K30" s="57"/>
      <c r="L30" s="57"/>
      <c r="M30" s="57"/>
      <c r="N30" s="57"/>
      <c r="O30" s="57"/>
      <c r="P30" s="57"/>
      <c r="Q30" s="57"/>
      <c r="R30" s="57"/>
      <c r="S30" s="57"/>
      <c r="T30" s="57"/>
      <c r="U30" s="57"/>
      <c r="V30" s="57"/>
      <c r="W30" s="57"/>
      <c r="X30" s="57"/>
      <c r="Y30" s="57"/>
      <c r="Z30" s="57"/>
      <c r="AA30" s="57"/>
      <c r="AB30" s="57"/>
      <c r="AC30" s="57"/>
      <c r="AD30" s="57"/>
      <c r="AE30" s="57"/>
      <c r="AF30" s="57"/>
      <c r="AG30" s="57"/>
      <c r="AH30" s="57"/>
      <c r="AI30" s="57"/>
      <c r="AJ30" s="57"/>
      <c r="AK30" s="57"/>
      <c r="AL30" s="57"/>
      <c r="AM30" s="57"/>
      <c r="AN30" s="57"/>
      <c r="AO30" s="57"/>
      <c r="AP30" s="57"/>
      <c r="AQ30" s="57"/>
      <c r="AR30" s="57"/>
      <c r="AS30" s="57"/>
      <c r="AT30" s="57"/>
      <c r="AU30" s="57"/>
      <c r="AV30" s="57"/>
      <c r="AW30" s="66"/>
      <c r="BB30" s="59"/>
      <c r="BC30" s="59"/>
      <c r="BD30" s="59"/>
      <c r="BE30" s="59"/>
      <c r="BF30" s="59"/>
      <c r="BG30" s="59"/>
    </row>
    <row r="31" spans="1:59" s="58" customFormat="1" ht="20.25" customHeight="1">
      <c r="A31" s="54"/>
      <c r="B31" s="55"/>
      <c r="C31" s="56"/>
      <c r="D31" s="56"/>
      <c r="E31" s="57"/>
      <c r="F31" s="57"/>
      <c r="G31" s="57"/>
      <c r="H31" s="57"/>
      <c r="I31" s="57"/>
      <c r="J31" s="57"/>
      <c r="K31" s="57"/>
      <c r="L31" s="65"/>
      <c r="M31" s="57"/>
      <c r="N31" s="57"/>
      <c r="O31" s="57"/>
      <c r="P31" s="57"/>
      <c r="Q31" s="57"/>
      <c r="R31" s="57"/>
      <c r="S31" s="57"/>
      <c r="T31" s="57"/>
      <c r="U31" s="57"/>
      <c r="V31" s="57"/>
      <c r="W31" s="57"/>
      <c r="X31" s="57"/>
      <c r="Y31" s="57"/>
      <c r="Z31" s="57"/>
      <c r="AA31" s="57"/>
      <c r="AB31" s="57"/>
      <c r="AC31" s="57"/>
      <c r="AD31" s="57"/>
      <c r="AE31" s="57"/>
      <c r="AF31" s="57"/>
      <c r="AG31" s="65"/>
      <c r="AH31" s="57"/>
      <c r="AI31" s="57"/>
      <c r="AJ31" s="57"/>
      <c r="AK31" s="57"/>
      <c r="AL31" s="57"/>
      <c r="AM31" s="57"/>
      <c r="AN31" s="57"/>
      <c r="AO31" s="57"/>
      <c r="AP31" s="57"/>
      <c r="AQ31" s="57"/>
      <c r="AR31" s="57"/>
      <c r="AS31" s="57"/>
      <c r="AT31" s="57"/>
      <c r="AU31" s="57"/>
      <c r="AV31" s="57"/>
      <c r="AW31" s="66"/>
      <c r="BB31" s="59"/>
      <c r="BC31" s="59"/>
      <c r="BD31" s="59"/>
      <c r="BE31" s="59"/>
      <c r="BF31" s="59"/>
      <c r="BG31" s="59"/>
    </row>
    <row r="32" spans="1:59" s="58" customFormat="1" ht="20.25" customHeight="1">
      <c r="A32" s="54"/>
      <c r="B32" s="55"/>
      <c r="C32" s="56"/>
      <c r="D32" s="56"/>
      <c r="E32" s="57"/>
      <c r="F32" s="57"/>
      <c r="G32" s="57"/>
      <c r="H32" s="57"/>
      <c r="I32" s="57"/>
      <c r="J32" s="57"/>
      <c r="K32" s="57"/>
      <c r="L32" s="57"/>
      <c r="M32" s="57"/>
      <c r="N32" s="57"/>
      <c r="O32" s="57"/>
      <c r="P32" s="57"/>
      <c r="Q32" s="57"/>
      <c r="R32" s="57"/>
      <c r="S32" s="57"/>
      <c r="T32" s="57"/>
      <c r="U32" s="57"/>
      <c r="V32" s="57"/>
      <c r="W32" s="57"/>
      <c r="X32" s="57"/>
      <c r="Y32" s="57"/>
      <c r="Z32" s="57"/>
      <c r="AA32" s="57"/>
      <c r="AB32" s="57"/>
      <c r="AC32" s="57"/>
      <c r="AD32" s="57"/>
      <c r="AE32" s="57"/>
      <c r="AF32" s="57"/>
      <c r="AG32" s="57"/>
      <c r="AH32" s="57"/>
      <c r="AI32" s="57"/>
      <c r="AJ32" s="57"/>
      <c r="AK32" s="57"/>
      <c r="AL32" s="57"/>
      <c r="AM32" s="57"/>
      <c r="AN32" s="57"/>
      <c r="AO32" s="57"/>
      <c r="AP32" s="57"/>
      <c r="AQ32" s="57"/>
      <c r="AR32" s="57"/>
      <c r="AS32" s="57"/>
      <c r="AT32" s="57"/>
      <c r="AU32" s="57"/>
      <c r="AV32" s="57"/>
      <c r="AW32" s="66"/>
      <c r="BB32" s="59"/>
      <c r="BC32" s="59"/>
      <c r="BD32" s="59"/>
      <c r="BE32" s="59"/>
      <c r="BF32" s="59"/>
      <c r="BG32" s="59"/>
    </row>
    <row r="33" spans="1:59" s="58" customFormat="1" ht="20.25" customHeight="1">
      <c r="A33" s="54"/>
      <c r="B33" s="55"/>
      <c r="C33" s="56"/>
      <c r="D33" s="56"/>
      <c r="E33" s="57"/>
      <c r="F33" s="57"/>
      <c r="G33" s="57"/>
      <c r="H33" s="57"/>
      <c r="I33" s="57"/>
      <c r="J33" s="57"/>
      <c r="K33" s="57"/>
      <c r="L33" s="57"/>
      <c r="M33" s="57"/>
      <c r="N33" s="57"/>
      <c r="O33" s="57"/>
      <c r="P33" s="57"/>
      <c r="Q33" s="57"/>
      <c r="R33" s="57"/>
      <c r="S33" s="57"/>
      <c r="T33" s="57"/>
      <c r="U33" s="57"/>
      <c r="V33" s="57"/>
      <c r="W33" s="57"/>
      <c r="X33" s="57"/>
      <c r="Y33" s="57"/>
      <c r="Z33" s="57"/>
      <c r="AA33" s="57"/>
      <c r="AB33" s="57"/>
      <c r="AC33" s="57"/>
      <c r="AD33" s="57"/>
      <c r="AE33" s="57"/>
      <c r="AF33" s="57"/>
      <c r="AG33" s="57"/>
      <c r="AH33" s="57"/>
      <c r="AI33" s="57"/>
      <c r="AJ33" s="57"/>
      <c r="AK33" s="57"/>
      <c r="AL33" s="57"/>
      <c r="AM33" s="57"/>
      <c r="AN33" s="57"/>
      <c r="AO33" s="57"/>
      <c r="AP33" s="57"/>
      <c r="AQ33" s="57"/>
      <c r="AR33" s="57"/>
      <c r="AS33" s="57"/>
      <c r="AT33" s="57"/>
      <c r="AU33" s="57"/>
      <c r="AV33" s="57"/>
      <c r="AW33" s="66"/>
      <c r="BB33" s="59"/>
      <c r="BC33" s="59"/>
      <c r="BD33" s="59"/>
      <c r="BE33" s="59"/>
      <c r="BF33" s="59"/>
      <c r="BG33" s="59"/>
    </row>
  </sheetData>
  <mergeCells count="44">
    <mergeCell ref="B24:D24"/>
    <mergeCell ref="E26:F26"/>
    <mergeCell ref="B17:D17"/>
    <mergeCell ref="B19:D19"/>
    <mergeCell ref="B20:D20"/>
    <mergeCell ref="B21:D21"/>
    <mergeCell ref="B22:D22"/>
    <mergeCell ref="B23:D23"/>
    <mergeCell ref="B18:C18"/>
    <mergeCell ref="B11:D11"/>
    <mergeCell ref="B10:D10"/>
    <mergeCell ref="B12:D12"/>
    <mergeCell ref="B13:D13"/>
    <mergeCell ref="AX13:AX16"/>
    <mergeCell ref="B14:D14"/>
    <mergeCell ref="B15:D15"/>
    <mergeCell ref="B16:D16"/>
    <mergeCell ref="AU4:AW4"/>
    <mergeCell ref="B6:D6"/>
    <mergeCell ref="Z4:AB4"/>
    <mergeCell ref="AC4:AE4"/>
    <mergeCell ref="AX8:AX9"/>
    <mergeCell ref="B9:D9"/>
    <mergeCell ref="B7:D7"/>
    <mergeCell ref="B8:D8"/>
    <mergeCell ref="B5:D5"/>
    <mergeCell ref="T4:V4"/>
    <mergeCell ref="W4:Y4"/>
    <mergeCell ref="A2:D2"/>
    <mergeCell ref="AY2:AZ2"/>
    <mergeCell ref="B3:D3"/>
    <mergeCell ref="AX3:AY3"/>
    <mergeCell ref="B4:D4"/>
    <mergeCell ref="E4:G4"/>
    <mergeCell ref="H4:J4"/>
    <mergeCell ref="K4:M4"/>
    <mergeCell ref="N4:P4"/>
    <mergeCell ref="Q4:S4"/>
    <mergeCell ref="AX4:AY4"/>
    <mergeCell ref="AF4:AH4"/>
    <mergeCell ref="AI4:AK4"/>
    <mergeCell ref="AL4:AN4"/>
    <mergeCell ref="AO4:AQ4"/>
    <mergeCell ref="AR4:AT4"/>
  </mergeCells>
  <phoneticPr fontId="1"/>
  <printOptions horizontalCentered="1" verticalCentered="1"/>
  <pageMargins left="0.23622047244094488" right="0.23622047244094488" top="0.25" bottom="0.25" header="0.31496062992125984" footer="0.31496062992125984"/>
  <pageSetup paperSize="8" scale="22" orientation="landscape" r:id="rId1"/>
  <headerFooter>
    <oddHeader>&amp;R&amp;"HG丸ｺﾞｼｯｸM-PRO,標準"&amp;14ＳＨＣ</oddHeader>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FB7DCC-8FE2-42D3-B6D1-063B64F1862D}">
  <sheetPr>
    <tabColor rgb="FF7030A0"/>
    <pageSetUpPr fitToPage="1"/>
  </sheetPr>
  <dimension ref="A1:BG32"/>
  <sheetViews>
    <sheetView showGridLines="0" view="pageBreakPreview" topLeftCell="B1" zoomScale="34" zoomScaleNormal="100" zoomScaleSheetLayoutView="34" zoomScalePageLayoutView="80" workbookViewId="0">
      <pane xSplit="3" ySplit="6" topLeftCell="I13" activePane="bottomRight" state="frozen"/>
      <selection activeCell="B1" sqref="B1"/>
      <selection pane="topRight" activeCell="E1" sqref="E1"/>
      <selection pane="bottomLeft" activeCell="B6" sqref="B6"/>
      <selection pane="bottomRight" activeCell="X11" sqref="X11"/>
    </sheetView>
  </sheetViews>
  <sheetFormatPr defaultColWidth="9" defaultRowHeight="20.25" customHeight="1" outlineLevelRow="1"/>
  <cols>
    <col min="1" max="1" width="9" style="54"/>
    <col min="2" max="2" width="20.59765625" style="55" customWidth="1"/>
    <col min="3" max="4" width="20.59765625" style="56" customWidth="1"/>
    <col min="5" max="8" width="18.265625" style="57" customWidth="1"/>
    <col min="9" max="9" width="16.1328125" style="57" customWidth="1"/>
    <col min="10" max="22" width="18.265625" style="57" customWidth="1"/>
    <col min="23" max="23" width="23.33203125" style="57" bestFit="1" customWidth="1"/>
    <col min="24" max="43" width="18.265625" style="57" customWidth="1"/>
    <col min="44" max="44" width="23.33203125" style="57" bestFit="1" customWidth="1"/>
    <col min="45" max="46" width="18.265625" style="57" customWidth="1"/>
    <col min="47" max="47" width="23.33203125" style="57" bestFit="1" customWidth="1"/>
    <col min="48" max="48" width="18.265625" style="57" customWidth="1"/>
    <col min="49" max="49" width="18.265625" style="66" customWidth="1"/>
    <col min="50" max="51" width="10.06640625" style="58" customWidth="1"/>
    <col min="52" max="52" width="12.33203125" style="58" customWidth="1"/>
    <col min="53" max="53" width="2.33203125" style="58" customWidth="1"/>
    <col min="54" max="58" width="9" style="59"/>
    <col min="59" max="59" width="25.796875" style="59" customWidth="1"/>
    <col min="60" max="16384" width="9" style="59"/>
  </cols>
  <sheetData>
    <row r="1" spans="1:53" ht="20.25" customHeight="1">
      <c r="AW1" s="57"/>
    </row>
    <row r="2" spans="1:53" s="63" customFormat="1" ht="80.25" customHeight="1">
      <c r="A2" s="180" t="s">
        <v>39</v>
      </c>
      <c r="B2" s="180"/>
      <c r="C2" s="180"/>
      <c r="D2" s="180"/>
      <c r="E2" s="60"/>
      <c r="F2" s="60"/>
      <c r="G2" s="60"/>
      <c r="H2" s="60"/>
      <c r="I2" s="60"/>
      <c r="J2" s="60"/>
      <c r="K2" s="60"/>
      <c r="L2" s="60"/>
      <c r="M2" s="60"/>
      <c r="N2" s="60"/>
      <c r="O2" s="60"/>
      <c r="P2" s="60"/>
      <c r="Q2" s="60"/>
      <c r="R2" s="60"/>
      <c r="S2" s="60"/>
      <c r="T2" s="60"/>
      <c r="U2" s="60"/>
      <c r="V2" s="60"/>
      <c r="W2" s="60"/>
      <c r="X2" s="60"/>
      <c r="Y2" s="60"/>
      <c r="Z2" s="60"/>
      <c r="AA2" s="60"/>
      <c r="AB2" s="60"/>
      <c r="AC2" s="60"/>
      <c r="AD2" s="60"/>
      <c r="AE2" s="60"/>
      <c r="AF2" s="60"/>
      <c r="AG2" s="60"/>
      <c r="AH2" s="60"/>
      <c r="AI2" s="60"/>
      <c r="AJ2" s="60"/>
      <c r="AK2" s="60"/>
      <c r="AL2" s="60"/>
      <c r="AM2" s="60"/>
      <c r="AN2" s="60"/>
      <c r="AO2" s="60"/>
      <c r="AP2" s="60"/>
      <c r="AQ2" s="60"/>
      <c r="AR2" s="60"/>
      <c r="AS2" s="60"/>
      <c r="AT2" s="60"/>
      <c r="AU2" s="60"/>
      <c r="AV2" s="60"/>
      <c r="AW2" s="60"/>
      <c r="AX2" s="61"/>
      <c r="AY2" s="181"/>
      <c r="AZ2" s="182"/>
      <c r="BA2" s="62"/>
    </row>
    <row r="3" spans="1:53" s="63" customFormat="1" ht="80.25" customHeight="1" thickBot="1">
      <c r="A3" s="64"/>
      <c r="B3" s="183" t="s">
        <v>57</v>
      </c>
      <c r="C3" s="183"/>
      <c r="D3" s="183"/>
      <c r="E3" s="60"/>
      <c r="F3" s="60"/>
      <c r="G3" s="60"/>
      <c r="H3" s="60"/>
      <c r="I3" s="60"/>
      <c r="J3" s="60"/>
      <c r="K3" s="60"/>
      <c r="L3" s="60"/>
      <c r="M3" s="60"/>
      <c r="N3" s="60"/>
      <c r="O3" s="60"/>
      <c r="P3" s="60"/>
      <c r="Q3" s="60"/>
      <c r="R3" s="60"/>
      <c r="S3" s="60"/>
      <c r="T3" s="60"/>
      <c r="U3" s="60"/>
      <c r="V3" s="60"/>
      <c r="W3" s="60"/>
      <c r="X3" s="60"/>
      <c r="Y3" s="60"/>
      <c r="Z3" s="60"/>
      <c r="AA3" s="60"/>
      <c r="AB3" s="60"/>
      <c r="AC3" s="60"/>
      <c r="AD3" s="60"/>
      <c r="AE3" s="60"/>
      <c r="AF3" s="60"/>
      <c r="AG3" s="60"/>
      <c r="AH3" s="60"/>
      <c r="AI3" s="60"/>
      <c r="AJ3" s="60"/>
      <c r="AK3" s="60"/>
      <c r="AL3" s="60"/>
      <c r="AM3" s="60"/>
      <c r="AN3" s="60"/>
      <c r="AO3" s="60"/>
      <c r="AP3" s="60"/>
      <c r="AQ3" s="60"/>
      <c r="AR3" s="60"/>
      <c r="AS3" s="60"/>
      <c r="AT3" s="60"/>
      <c r="AU3" s="60"/>
      <c r="AV3" s="60"/>
      <c r="AW3" s="60" t="s">
        <v>46</v>
      </c>
      <c r="AX3" s="184"/>
      <c r="AY3" s="184"/>
    </row>
    <row r="4" spans="1:53" ht="76.05" customHeight="1">
      <c r="B4" s="185"/>
      <c r="C4" s="186"/>
      <c r="D4" s="187"/>
      <c r="E4" s="188" t="s">
        <v>14</v>
      </c>
      <c r="F4" s="189"/>
      <c r="G4" s="190"/>
      <c r="H4" s="188" t="s">
        <v>13</v>
      </c>
      <c r="I4" s="189"/>
      <c r="J4" s="190"/>
      <c r="K4" s="188" t="s">
        <v>12</v>
      </c>
      <c r="L4" s="189"/>
      <c r="M4" s="190"/>
      <c r="N4" s="188" t="s">
        <v>11</v>
      </c>
      <c r="O4" s="189"/>
      <c r="P4" s="190"/>
      <c r="Q4" s="188" t="s">
        <v>10</v>
      </c>
      <c r="R4" s="189"/>
      <c r="S4" s="190"/>
      <c r="T4" s="188" t="s">
        <v>9</v>
      </c>
      <c r="U4" s="189"/>
      <c r="V4" s="190"/>
      <c r="W4" s="192" t="s">
        <v>43</v>
      </c>
      <c r="X4" s="193"/>
      <c r="Y4" s="194"/>
      <c r="Z4" s="198" t="s">
        <v>6</v>
      </c>
      <c r="AA4" s="199"/>
      <c r="AB4" s="200"/>
      <c r="AC4" s="188" t="s">
        <v>50</v>
      </c>
      <c r="AD4" s="189"/>
      <c r="AE4" s="190"/>
      <c r="AF4" s="188" t="s">
        <v>51</v>
      </c>
      <c r="AG4" s="189"/>
      <c r="AH4" s="190"/>
      <c r="AI4" s="188" t="s">
        <v>52</v>
      </c>
      <c r="AJ4" s="189"/>
      <c r="AK4" s="190"/>
      <c r="AL4" s="188" t="s">
        <v>53</v>
      </c>
      <c r="AM4" s="189"/>
      <c r="AN4" s="190"/>
      <c r="AO4" s="188" t="s">
        <v>54</v>
      </c>
      <c r="AP4" s="189"/>
      <c r="AQ4" s="190"/>
      <c r="AR4" s="192" t="s">
        <v>44</v>
      </c>
      <c r="AS4" s="193"/>
      <c r="AT4" s="194"/>
      <c r="AU4" s="235" t="s">
        <v>45</v>
      </c>
      <c r="AV4" s="236"/>
      <c r="AW4" s="237"/>
      <c r="AX4" s="191"/>
      <c r="AY4" s="191"/>
      <c r="AZ4" s="65"/>
      <c r="BA4" s="65"/>
    </row>
    <row r="5" spans="1:53" ht="88.5" customHeight="1">
      <c r="B5" s="210"/>
      <c r="C5" s="189"/>
      <c r="D5" s="190"/>
      <c r="E5" s="97" t="s">
        <v>47</v>
      </c>
      <c r="F5" s="98" t="s">
        <v>48</v>
      </c>
      <c r="G5" s="99" t="s">
        <v>49</v>
      </c>
      <c r="H5" s="97" t="s">
        <v>47</v>
      </c>
      <c r="I5" s="98" t="s">
        <v>48</v>
      </c>
      <c r="J5" s="99" t="s">
        <v>49</v>
      </c>
      <c r="K5" s="97" t="s">
        <v>47</v>
      </c>
      <c r="L5" s="98" t="s">
        <v>48</v>
      </c>
      <c r="M5" s="99" t="s">
        <v>49</v>
      </c>
      <c r="N5" s="97" t="s">
        <v>47</v>
      </c>
      <c r="O5" s="98" t="s">
        <v>48</v>
      </c>
      <c r="P5" s="99" t="s">
        <v>49</v>
      </c>
      <c r="Q5" s="97" t="s">
        <v>47</v>
      </c>
      <c r="R5" s="98" t="s">
        <v>48</v>
      </c>
      <c r="S5" s="99" t="s">
        <v>49</v>
      </c>
      <c r="T5" s="97" t="s">
        <v>47</v>
      </c>
      <c r="U5" s="98" t="s">
        <v>48</v>
      </c>
      <c r="V5" s="99" t="s">
        <v>49</v>
      </c>
      <c r="W5" s="97" t="s">
        <v>47</v>
      </c>
      <c r="X5" s="98" t="s">
        <v>48</v>
      </c>
      <c r="Y5" s="99" t="s">
        <v>49</v>
      </c>
      <c r="Z5" s="97" t="s">
        <v>47</v>
      </c>
      <c r="AA5" s="98" t="s">
        <v>48</v>
      </c>
      <c r="AB5" s="99" t="s">
        <v>49</v>
      </c>
      <c r="AC5" s="97" t="s">
        <v>47</v>
      </c>
      <c r="AD5" s="98" t="s">
        <v>48</v>
      </c>
      <c r="AE5" s="99" t="s">
        <v>49</v>
      </c>
      <c r="AF5" s="97" t="s">
        <v>47</v>
      </c>
      <c r="AG5" s="98" t="s">
        <v>48</v>
      </c>
      <c r="AH5" s="99" t="s">
        <v>49</v>
      </c>
      <c r="AI5" s="97" t="s">
        <v>47</v>
      </c>
      <c r="AJ5" s="98" t="s">
        <v>48</v>
      </c>
      <c r="AK5" s="99" t="s">
        <v>49</v>
      </c>
      <c r="AL5" s="97" t="s">
        <v>47</v>
      </c>
      <c r="AM5" s="98" t="s">
        <v>48</v>
      </c>
      <c r="AN5" s="99" t="s">
        <v>49</v>
      </c>
      <c r="AO5" s="97" t="s">
        <v>47</v>
      </c>
      <c r="AP5" s="98" t="s">
        <v>48</v>
      </c>
      <c r="AQ5" s="99" t="s">
        <v>49</v>
      </c>
      <c r="AR5" s="97" t="s">
        <v>47</v>
      </c>
      <c r="AS5" s="98" t="s">
        <v>48</v>
      </c>
      <c r="AT5" s="99" t="s">
        <v>49</v>
      </c>
      <c r="AU5" s="97" t="s">
        <v>47</v>
      </c>
      <c r="AV5" s="98" t="s">
        <v>48</v>
      </c>
      <c r="AW5" s="99" t="s">
        <v>49</v>
      </c>
      <c r="AX5" s="65"/>
      <c r="AY5" s="65"/>
      <c r="AZ5" s="65"/>
      <c r="BA5" s="65"/>
    </row>
    <row r="6" spans="1:53" ht="99" customHeight="1">
      <c r="B6" s="238" t="s">
        <v>18</v>
      </c>
      <c r="C6" s="239"/>
      <c r="D6" s="240"/>
      <c r="E6" s="92">
        <f>E12+E17+E23</f>
        <v>5600</v>
      </c>
      <c r="F6" s="93">
        <f>F12+F17+F23</f>
        <v>3687.9</v>
      </c>
      <c r="G6" s="88">
        <f>F6/E6</f>
        <v>0.6585535714285714</v>
      </c>
      <c r="H6" s="82">
        <f>H12+H17+H23</f>
        <v>6000</v>
      </c>
      <c r="I6" s="81">
        <f>I12+I17+I23</f>
        <v>5234.3999999999996</v>
      </c>
      <c r="J6" s="88">
        <f>I6/H6</f>
        <v>0.87239999999999995</v>
      </c>
      <c r="K6" s="81">
        <f>K12+K17+K23</f>
        <v>5600</v>
      </c>
      <c r="L6" s="81">
        <f>L12+L17+L23</f>
        <v>5572.2</v>
      </c>
      <c r="M6" s="88">
        <f>L6/K6</f>
        <v>0.99503571428571425</v>
      </c>
      <c r="N6" s="81">
        <f>N12+N17+N23</f>
        <v>6000</v>
      </c>
      <c r="O6" s="81">
        <f>O12+O17+O23</f>
        <v>3429.2</v>
      </c>
      <c r="P6" s="88">
        <f>O6/N6</f>
        <v>0.57153333333333334</v>
      </c>
      <c r="Q6" s="117">
        <f>Q12+Q17+Q23</f>
        <v>5600</v>
      </c>
      <c r="R6" s="81">
        <f>R12+R17+R23</f>
        <v>4025</v>
      </c>
      <c r="S6" s="88">
        <f>R6/Q6</f>
        <v>0.71875</v>
      </c>
      <c r="T6" s="81">
        <f>T12+T17+T23</f>
        <v>6000</v>
      </c>
      <c r="U6" s="81">
        <f>U12+U17+U23</f>
        <v>3897</v>
      </c>
      <c r="V6" s="88">
        <f>U6/T6</f>
        <v>0.64949999999999997</v>
      </c>
      <c r="W6" s="81">
        <f>W12+W17+W23</f>
        <v>34800</v>
      </c>
      <c r="X6" s="81">
        <f>X12+X17+X23</f>
        <v>25845.7</v>
      </c>
      <c r="Y6" s="88">
        <f>X6/W6</f>
        <v>0.74269252873563218</v>
      </c>
      <c r="Z6" s="117">
        <f>Z12+Z17+Z23</f>
        <v>5600</v>
      </c>
      <c r="AA6" s="81">
        <f>AA12+AA17+AA23</f>
        <v>4022.4</v>
      </c>
      <c r="AB6" s="88">
        <f>AA6/Z6</f>
        <v>0.71828571428571431</v>
      </c>
      <c r="AC6" s="81">
        <f>AC12+AC17+AC23</f>
        <v>6000</v>
      </c>
      <c r="AD6" s="81">
        <f>AD12+AD17+AD23</f>
        <v>0</v>
      </c>
      <c r="AE6" s="88">
        <f>AD6/AC6</f>
        <v>0</v>
      </c>
      <c r="AF6" s="81">
        <f>AF12+AF17+AF23</f>
        <v>5600</v>
      </c>
      <c r="AG6" s="81">
        <f>AG12+AG17+AG23</f>
        <v>0</v>
      </c>
      <c r="AH6" s="88">
        <f>AG6/AF6</f>
        <v>0</v>
      </c>
      <c r="AI6" s="81">
        <f>AI12+AI17+AI23</f>
        <v>6000</v>
      </c>
      <c r="AJ6" s="81">
        <f>AJ12+AJ17+AJ23</f>
        <v>0</v>
      </c>
      <c r="AK6" s="88">
        <f>AJ6/AI6</f>
        <v>0</v>
      </c>
      <c r="AL6" s="81">
        <f>AL12+AL17+AL23</f>
        <v>5600</v>
      </c>
      <c r="AM6" s="81">
        <f>AM12+AM17+AM23</f>
        <v>0</v>
      </c>
      <c r="AN6" s="88">
        <f>AM6/AL6</f>
        <v>0</v>
      </c>
      <c r="AO6" s="81">
        <f>AO12+AO17+AO23</f>
        <v>6000</v>
      </c>
      <c r="AP6" s="81">
        <f>AP12+AP17+AP23</f>
        <v>0</v>
      </c>
      <c r="AQ6" s="88">
        <f>AP6/AO6</f>
        <v>0</v>
      </c>
      <c r="AR6" s="81">
        <f>AR12+AR17+AR23</f>
        <v>35200.444444444445</v>
      </c>
      <c r="AS6" s="81">
        <f>AS12+AS17+AS23</f>
        <v>4022.4</v>
      </c>
      <c r="AT6" s="88">
        <f>AS6/AR6</f>
        <v>0.11427128445347912</v>
      </c>
      <c r="AU6" s="81">
        <f>AU12+AU17+AU23</f>
        <v>70000.444444444438</v>
      </c>
      <c r="AV6" s="81">
        <f>AV12+AV17+AV23</f>
        <v>29868.1</v>
      </c>
      <c r="AW6" s="100">
        <f>AV6/AU6</f>
        <v>0.426684433749627</v>
      </c>
      <c r="AX6" s="65"/>
      <c r="AY6" s="65"/>
      <c r="AZ6" s="65"/>
      <c r="BA6" s="65"/>
    </row>
    <row r="7" spans="1:53" ht="80.25" customHeight="1">
      <c r="B7" s="214" t="s">
        <v>55</v>
      </c>
      <c r="C7" s="215"/>
      <c r="D7" s="216"/>
      <c r="E7" s="78" t="s">
        <v>5</v>
      </c>
      <c r="F7" s="95" t="s">
        <v>4</v>
      </c>
      <c r="G7" s="111" t="s">
        <v>56</v>
      </c>
      <c r="H7" s="74" t="s">
        <v>5</v>
      </c>
      <c r="I7" s="68" t="s">
        <v>4</v>
      </c>
      <c r="J7" s="111" t="s">
        <v>56</v>
      </c>
      <c r="K7" s="68" t="s">
        <v>5</v>
      </c>
      <c r="L7" s="68" t="s">
        <v>4</v>
      </c>
      <c r="M7" s="111" t="s">
        <v>56</v>
      </c>
      <c r="N7" s="68" t="s">
        <v>5</v>
      </c>
      <c r="O7" s="68" t="s">
        <v>4</v>
      </c>
      <c r="P7" s="111" t="s">
        <v>56</v>
      </c>
      <c r="Q7" s="78" t="s">
        <v>5</v>
      </c>
      <c r="R7" s="68" t="s">
        <v>4</v>
      </c>
      <c r="S7" s="111" t="s">
        <v>56</v>
      </c>
      <c r="T7" s="68" t="s">
        <v>5</v>
      </c>
      <c r="U7" s="68" t="s">
        <v>4</v>
      </c>
      <c r="V7" s="111" t="s">
        <v>56</v>
      </c>
      <c r="W7" s="68" t="s">
        <v>5</v>
      </c>
      <c r="X7" s="68" t="s">
        <v>4</v>
      </c>
      <c r="Y7" s="111" t="s">
        <v>56</v>
      </c>
      <c r="Z7" s="78" t="s">
        <v>5</v>
      </c>
      <c r="AA7" s="68" t="s">
        <v>4</v>
      </c>
      <c r="AB7" s="111" t="s">
        <v>56</v>
      </c>
      <c r="AC7" s="68" t="s">
        <v>5</v>
      </c>
      <c r="AD7" s="68" t="s">
        <v>4</v>
      </c>
      <c r="AE7" s="111" t="s">
        <v>56</v>
      </c>
      <c r="AF7" s="68" t="s">
        <v>5</v>
      </c>
      <c r="AG7" s="68" t="s">
        <v>4</v>
      </c>
      <c r="AH7" s="111" t="s">
        <v>56</v>
      </c>
      <c r="AI7" s="68" t="s">
        <v>5</v>
      </c>
      <c r="AJ7" s="68" t="s">
        <v>4</v>
      </c>
      <c r="AK7" s="111" t="s">
        <v>56</v>
      </c>
      <c r="AL7" s="68" t="s">
        <v>5</v>
      </c>
      <c r="AM7" s="68" t="s">
        <v>4</v>
      </c>
      <c r="AN7" s="111" t="s">
        <v>56</v>
      </c>
      <c r="AO7" s="68" t="s">
        <v>5</v>
      </c>
      <c r="AP7" s="68" t="s">
        <v>4</v>
      </c>
      <c r="AQ7" s="111" t="s">
        <v>56</v>
      </c>
      <c r="AR7" s="68" t="s">
        <v>5</v>
      </c>
      <c r="AS7" s="68" t="s">
        <v>4</v>
      </c>
      <c r="AT7" s="111" t="s">
        <v>56</v>
      </c>
      <c r="AU7" s="68" t="s">
        <v>5</v>
      </c>
      <c r="AV7" s="68" t="s">
        <v>4</v>
      </c>
      <c r="AW7" s="111" t="s">
        <v>56</v>
      </c>
      <c r="AX7" s="65"/>
      <c r="AY7" s="65"/>
      <c r="BA7" s="54"/>
    </row>
    <row r="8" spans="1:53" ht="80.25" customHeight="1">
      <c r="B8" s="201" t="s">
        <v>0</v>
      </c>
      <c r="C8" s="202"/>
      <c r="D8" s="203"/>
      <c r="E8" s="76">
        <v>900</v>
      </c>
      <c r="F8" s="89">
        <v>400</v>
      </c>
      <c r="G8" s="96">
        <f>F8/E8</f>
        <v>0.44444444444444442</v>
      </c>
      <c r="H8" s="72">
        <v>900</v>
      </c>
      <c r="I8" s="67">
        <v>0</v>
      </c>
      <c r="J8" s="96">
        <f>I8/H8</f>
        <v>0</v>
      </c>
      <c r="K8" s="67">
        <v>900</v>
      </c>
      <c r="L8" s="67">
        <v>0</v>
      </c>
      <c r="M8" s="96">
        <f>L8/K8</f>
        <v>0</v>
      </c>
      <c r="N8" s="67">
        <v>900</v>
      </c>
      <c r="O8" s="67">
        <v>0</v>
      </c>
      <c r="P8" s="96">
        <f>O8/N8</f>
        <v>0</v>
      </c>
      <c r="Q8" s="76">
        <v>900</v>
      </c>
      <c r="R8" s="67">
        <v>414</v>
      </c>
      <c r="S8" s="96">
        <f>R8/Q8</f>
        <v>0.46</v>
      </c>
      <c r="T8" s="67">
        <v>900</v>
      </c>
      <c r="U8" s="67">
        <v>0</v>
      </c>
      <c r="V8" s="96">
        <f>U8/T8</f>
        <v>0</v>
      </c>
      <c r="W8" s="67">
        <f t="shared" ref="W8:X10" si="0">E8+H8+K8+N8+Q8+T8</f>
        <v>5400</v>
      </c>
      <c r="X8" s="67">
        <f t="shared" si="0"/>
        <v>814</v>
      </c>
      <c r="Y8" s="96">
        <f>X8/W8</f>
        <v>0.15074074074074073</v>
      </c>
      <c r="Z8" s="76">
        <v>900</v>
      </c>
      <c r="AA8" s="67">
        <v>400</v>
      </c>
      <c r="AB8" s="96">
        <f>AA8/Z8</f>
        <v>0.44444444444444442</v>
      </c>
      <c r="AC8" s="67">
        <v>900</v>
      </c>
      <c r="AD8" s="67"/>
      <c r="AE8" s="96">
        <f>AD8/AC8</f>
        <v>0</v>
      </c>
      <c r="AF8" s="67">
        <v>900</v>
      </c>
      <c r="AG8" s="67"/>
      <c r="AH8" s="96">
        <f>AG8/AF8</f>
        <v>0</v>
      </c>
      <c r="AI8" s="67">
        <v>900</v>
      </c>
      <c r="AJ8" s="67"/>
      <c r="AK8" s="96">
        <f>AJ8/AI8</f>
        <v>0</v>
      </c>
      <c r="AL8" s="67">
        <v>900</v>
      </c>
      <c r="AM8" s="67"/>
      <c r="AN8" s="96">
        <f>AM8/AL8</f>
        <v>0</v>
      </c>
      <c r="AO8" s="67">
        <v>900</v>
      </c>
      <c r="AP8" s="67"/>
      <c r="AQ8" s="96">
        <f>AP8/AO8</f>
        <v>0</v>
      </c>
      <c r="AR8" s="67">
        <f>SUM(Z8:AP8)</f>
        <v>5800.4444444444443</v>
      </c>
      <c r="AS8" s="67">
        <f>AA8+AD8+AG8+AJ8+AM8+AP8</f>
        <v>400</v>
      </c>
      <c r="AT8" s="96">
        <f>AS8/AR8</f>
        <v>6.8960232932342352E-2</v>
      </c>
      <c r="AU8" s="67">
        <f t="shared" ref="AU8:AV11" si="1">W8+AR8</f>
        <v>11200.444444444445</v>
      </c>
      <c r="AV8" s="67">
        <f t="shared" si="1"/>
        <v>1214</v>
      </c>
      <c r="AW8" s="101">
        <f>AV8/AU8</f>
        <v>0.10838855600968214</v>
      </c>
      <c r="AX8" s="191"/>
      <c r="BA8" s="54"/>
    </row>
    <row r="9" spans="1:53" ht="80.25" customHeight="1">
      <c r="B9" s="201" t="s">
        <v>3</v>
      </c>
      <c r="C9" s="202"/>
      <c r="D9" s="203"/>
      <c r="E9" s="76">
        <v>200</v>
      </c>
      <c r="F9" s="67">
        <v>0</v>
      </c>
      <c r="G9" s="96">
        <f>F9/E9</f>
        <v>0</v>
      </c>
      <c r="H9" s="72">
        <v>200</v>
      </c>
      <c r="I9" s="67">
        <v>200</v>
      </c>
      <c r="J9" s="96">
        <f>I9/H9</f>
        <v>1</v>
      </c>
      <c r="K9" s="67">
        <v>200</v>
      </c>
      <c r="L9" s="67">
        <v>0</v>
      </c>
      <c r="M9" s="96">
        <f>L9/K9</f>
        <v>0</v>
      </c>
      <c r="N9" s="67">
        <v>200</v>
      </c>
      <c r="O9" s="67">
        <v>0</v>
      </c>
      <c r="P9" s="96">
        <f>O9/N9</f>
        <v>0</v>
      </c>
      <c r="Q9" s="76">
        <v>200</v>
      </c>
      <c r="R9" s="67">
        <v>0</v>
      </c>
      <c r="S9" s="96">
        <f>R9/Q9</f>
        <v>0</v>
      </c>
      <c r="T9" s="67">
        <v>200</v>
      </c>
      <c r="U9" s="67">
        <v>0</v>
      </c>
      <c r="V9" s="96">
        <f>U9/T9</f>
        <v>0</v>
      </c>
      <c r="W9" s="67">
        <f t="shared" si="0"/>
        <v>1200</v>
      </c>
      <c r="X9" s="67">
        <f t="shared" si="0"/>
        <v>200</v>
      </c>
      <c r="Y9" s="96">
        <f>X9/W9</f>
        <v>0.16666666666666666</v>
      </c>
      <c r="Z9" s="76">
        <v>200</v>
      </c>
      <c r="AA9" s="67">
        <v>0</v>
      </c>
      <c r="AB9" s="96">
        <f>AA9/Z9</f>
        <v>0</v>
      </c>
      <c r="AC9" s="67">
        <v>200</v>
      </c>
      <c r="AD9" s="67"/>
      <c r="AE9" s="96">
        <f>AD9/AC9</f>
        <v>0</v>
      </c>
      <c r="AF9" s="67">
        <v>200</v>
      </c>
      <c r="AG9" s="67"/>
      <c r="AH9" s="96">
        <f>AG9/AF9</f>
        <v>0</v>
      </c>
      <c r="AI9" s="67">
        <v>200</v>
      </c>
      <c r="AJ9" s="67"/>
      <c r="AK9" s="96">
        <f>AJ9/AI9</f>
        <v>0</v>
      </c>
      <c r="AL9" s="67">
        <v>200</v>
      </c>
      <c r="AM9" s="67"/>
      <c r="AN9" s="96">
        <f>AM9/AL9</f>
        <v>0</v>
      </c>
      <c r="AO9" s="67">
        <v>200</v>
      </c>
      <c r="AP9" s="67"/>
      <c r="AQ9" s="96">
        <f>AP9/AO9</f>
        <v>0</v>
      </c>
      <c r="AR9" s="67">
        <f>Z9+AC9+AF9+AI9+AL9+AO9</f>
        <v>1200</v>
      </c>
      <c r="AS9" s="67">
        <f>AA9+AD9+AG9+AJ9+AM9+AP9</f>
        <v>0</v>
      </c>
      <c r="AT9" s="96">
        <f>AS9/AR9</f>
        <v>0</v>
      </c>
      <c r="AU9" s="67">
        <f t="shared" si="1"/>
        <v>2400</v>
      </c>
      <c r="AV9" s="67">
        <f t="shared" si="1"/>
        <v>200</v>
      </c>
      <c r="AW9" s="101">
        <f>AV9/AU9</f>
        <v>8.3333333333333329E-2</v>
      </c>
      <c r="AX9" s="191"/>
      <c r="BA9" s="54"/>
    </row>
    <row r="10" spans="1:53" ht="80.25" customHeight="1" outlineLevel="1">
      <c r="B10" s="201" t="s">
        <v>2</v>
      </c>
      <c r="C10" s="202"/>
      <c r="D10" s="203"/>
      <c r="E10" s="76"/>
      <c r="F10" s="67">
        <v>60</v>
      </c>
      <c r="G10" s="96" t="e">
        <f>F10/E10</f>
        <v>#DIV/0!</v>
      </c>
      <c r="H10" s="72"/>
      <c r="I10" s="67">
        <v>0</v>
      </c>
      <c r="J10" s="96" t="e">
        <f>I10/H10</f>
        <v>#DIV/0!</v>
      </c>
      <c r="K10" s="67"/>
      <c r="L10" s="67">
        <v>30</v>
      </c>
      <c r="M10" s="96" t="e">
        <f>L10/K10</f>
        <v>#DIV/0!</v>
      </c>
      <c r="N10" s="67"/>
      <c r="O10" s="67">
        <v>180</v>
      </c>
      <c r="P10" s="96" t="e">
        <f>O10/N10</f>
        <v>#DIV/0!</v>
      </c>
      <c r="Q10" s="76"/>
      <c r="R10" s="67">
        <v>0</v>
      </c>
      <c r="S10" s="96" t="e">
        <f>R10/Q10</f>
        <v>#DIV/0!</v>
      </c>
      <c r="T10" s="67"/>
      <c r="U10" s="67">
        <v>0</v>
      </c>
      <c r="V10" s="96" t="e">
        <f>U10/T10</f>
        <v>#DIV/0!</v>
      </c>
      <c r="W10" s="67">
        <f t="shared" si="0"/>
        <v>0</v>
      </c>
      <c r="X10" s="67">
        <f t="shared" si="0"/>
        <v>270</v>
      </c>
      <c r="Y10" s="96" t="e">
        <f>X10/W10</f>
        <v>#DIV/0!</v>
      </c>
      <c r="Z10" s="76"/>
      <c r="AA10" s="67">
        <v>0</v>
      </c>
      <c r="AB10" s="96" t="e">
        <f>AA10/Z10</f>
        <v>#DIV/0!</v>
      </c>
      <c r="AC10" s="67"/>
      <c r="AD10" s="67"/>
      <c r="AE10" s="96" t="e">
        <f>AD10/AC10</f>
        <v>#DIV/0!</v>
      </c>
      <c r="AF10" s="67"/>
      <c r="AG10" s="67"/>
      <c r="AH10" s="96" t="e">
        <f>AG10/AF10</f>
        <v>#DIV/0!</v>
      </c>
      <c r="AI10" s="67"/>
      <c r="AJ10" s="67"/>
      <c r="AK10" s="96" t="e">
        <f>AJ10/AI10</f>
        <v>#DIV/0!</v>
      </c>
      <c r="AL10" s="67"/>
      <c r="AM10" s="67"/>
      <c r="AN10" s="96" t="e">
        <f>AM10/AL10</f>
        <v>#DIV/0!</v>
      </c>
      <c r="AO10" s="67"/>
      <c r="AP10" s="67"/>
      <c r="AQ10" s="96" t="e">
        <f>AP10/AO10</f>
        <v>#DIV/0!</v>
      </c>
      <c r="AR10" s="67">
        <f>Z10+AC10+AF10+AI10+AL10+AO10</f>
        <v>0</v>
      </c>
      <c r="AS10" s="67">
        <f>AA10+AD10+AG10+AJ10+AM10+AP10</f>
        <v>0</v>
      </c>
      <c r="AT10" s="96" t="e">
        <f>AS10/AR10</f>
        <v>#DIV/0!</v>
      </c>
      <c r="AU10" s="67">
        <f t="shared" si="1"/>
        <v>0</v>
      </c>
      <c r="AV10" s="67">
        <f t="shared" si="1"/>
        <v>270</v>
      </c>
      <c r="AW10" s="101" t="e">
        <f>AV10/AU10</f>
        <v>#DIV/0!</v>
      </c>
      <c r="BA10" s="54"/>
    </row>
    <row r="11" spans="1:53" ht="80.25" customHeight="1" outlineLevel="1">
      <c r="B11" s="201" t="s">
        <v>42</v>
      </c>
      <c r="C11" s="202"/>
      <c r="D11" s="203"/>
      <c r="E11" s="77"/>
      <c r="F11" s="67">
        <v>70</v>
      </c>
      <c r="G11" s="96" t="e">
        <f>F11/E11</f>
        <v>#DIV/0!</v>
      </c>
      <c r="H11" s="73"/>
      <c r="I11" s="71">
        <v>65</v>
      </c>
      <c r="J11" s="96" t="e">
        <f>I11/H11</f>
        <v>#DIV/0!</v>
      </c>
      <c r="K11" s="71"/>
      <c r="L11" s="71">
        <v>65</v>
      </c>
      <c r="M11" s="96" t="e">
        <f>L11/K11</f>
        <v>#DIV/0!</v>
      </c>
      <c r="N11" s="71"/>
      <c r="O11" s="71">
        <v>65</v>
      </c>
      <c r="P11" s="96" t="e">
        <f>O11/N11</f>
        <v>#DIV/0!</v>
      </c>
      <c r="Q11" s="77"/>
      <c r="R11" s="71">
        <v>85</v>
      </c>
      <c r="S11" s="96" t="e">
        <f>R11/Q11</f>
        <v>#DIV/0!</v>
      </c>
      <c r="T11" s="71"/>
      <c r="U11" s="71">
        <v>85</v>
      </c>
      <c r="V11" s="96" t="e">
        <f>U11/T11</f>
        <v>#DIV/0!</v>
      </c>
      <c r="W11" s="71"/>
      <c r="X11" s="71">
        <f>F11+I11+L11+O11+R11+U11</f>
        <v>435</v>
      </c>
      <c r="Y11" s="96" t="e">
        <f>X11/W11</f>
        <v>#DIV/0!</v>
      </c>
      <c r="Z11" s="77"/>
      <c r="AA11" s="71">
        <v>85</v>
      </c>
      <c r="AB11" s="96" t="e">
        <f>AA11/Z11</f>
        <v>#DIV/0!</v>
      </c>
      <c r="AC11" s="71"/>
      <c r="AD11" s="71"/>
      <c r="AE11" s="96" t="e">
        <f>AD11/AC11</f>
        <v>#DIV/0!</v>
      </c>
      <c r="AF11" s="71"/>
      <c r="AG11" s="71"/>
      <c r="AH11" s="96" t="e">
        <f>AG11/AF11</f>
        <v>#DIV/0!</v>
      </c>
      <c r="AI11" s="71"/>
      <c r="AJ11" s="71"/>
      <c r="AK11" s="96" t="e">
        <f>AJ11/AI11</f>
        <v>#DIV/0!</v>
      </c>
      <c r="AL11" s="71"/>
      <c r="AM11" s="71"/>
      <c r="AN11" s="96" t="e">
        <f>AM11/AL11</f>
        <v>#DIV/0!</v>
      </c>
      <c r="AO11" s="71"/>
      <c r="AP11" s="71"/>
      <c r="AQ11" s="96" t="e">
        <f>AP11/AO11</f>
        <v>#DIV/0!</v>
      </c>
      <c r="AR11" s="71"/>
      <c r="AS11" s="71">
        <f>AA11+AD11+AG11+AJ11+AM11+AP11</f>
        <v>85</v>
      </c>
      <c r="AT11" s="96" t="e">
        <f>AS11/AR11</f>
        <v>#DIV/0!</v>
      </c>
      <c r="AU11" s="71">
        <f t="shared" si="1"/>
        <v>0</v>
      </c>
      <c r="AV11" s="71">
        <f t="shared" si="1"/>
        <v>520</v>
      </c>
      <c r="AW11" s="101" t="e">
        <f>AV11/AU11</f>
        <v>#DIV/0!</v>
      </c>
      <c r="BA11" s="54"/>
    </row>
    <row r="12" spans="1:53" ht="80.25" customHeight="1">
      <c r="B12" s="241" t="s">
        <v>15</v>
      </c>
      <c r="C12" s="242"/>
      <c r="D12" s="243"/>
      <c r="E12" s="84">
        <f t="shared" ref="E12:Q12" si="2">E8+E9+E10+E11</f>
        <v>1100</v>
      </c>
      <c r="F12" s="90">
        <f>F8+F9+F10+F11</f>
        <v>530</v>
      </c>
      <c r="G12" s="91">
        <f>F12/E12</f>
        <v>0.48181818181818181</v>
      </c>
      <c r="H12" s="85">
        <f t="shared" si="2"/>
        <v>1100</v>
      </c>
      <c r="I12" s="86">
        <f t="shared" si="2"/>
        <v>265</v>
      </c>
      <c r="J12" s="91">
        <f>I12/H12</f>
        <v>0.24090909090909091</v>
      </c>
      <c r="K12" s="86">
        <f t="shared" si="2"/>
        <v>1100</v>
      </c>
      <c r="L12" s="86">
        <f>L8+L9+L10+L11</f>
        <v>95</v>
      </c>
      <c r="M12" s="91">
        <f>L12/K12</f>
        <v>8.6363636363636365E-2</v>
      </c>
      <c r="N12" s="86">
        <f t="shared" si="2"/>
        <v>1100</v>
      </c>
      <c r="O12" s="86">
        <f t="shared" si="2"/>
        <v>245</v>
      </c>
      <c r="P12" s="91">
        <f>O12/N12</f>
        <v>0.22272727272727272</v>
      </c>
      <c r="Q12" s="84">
        <f t="shared" si="2"/>
        <v>1100</v>
      </c>
      <c r="R12" s="86">
        <f>R8+R9+R10+R11</f>
        <v>499</v>
      </c>
      <c r="S12" s="91">
        <f>R12/Q12</f>
        <v>0.45363636363636362</v>
      </c>
      <c r="T12" s="86">
        <f t="shared" ref="T12" si="3">T8+T9+T10</f>
        <v>1100</v>
      </c>
      <c r="U12" s="86">
        <f>U8+U9+U10+U11</f>
        <v>85</v>
      </c>
      <c r="V12" s="91">
        <f>U12/T12</f>
        <v>7.7272727272727271E-2</v>
      </c>
      <c r="W12" s="86">
        <f t="shared" ref="W12:AV12" si="4">W8+W9+W10+W11</f>
        <v>6600</v>
      </c>
      <c r="X12" s="86">
        <f>X8+X9+X10+X11</f>
        <v>1719</v>
      </c>
      <c r="Y12" s="96">
        <f>X12/W12</f>
        <v>0.26045454545454544</v>
      </c>
      <c r="Z12" s="84">
        <f t="shared" si="4"/>
        <v>1100</v>
      </c>
      <c r="AA12" s="86">
        <f t="shared" si="4"/>
        <v>485</v>
      </c>
      <c r="AB12" s="91">
        <f>AA12/Z12</f>
        <v>0.44090909090909092</v>
      </c>
      <c r="AC12" s="86">
        <f t="shared" si="4"/>
        <v>1100</v>
      </c>
      <c r="AD12" s="86">
        <f t="shared" si="4"/>
        <v>0</v>
      </c>
      <c r="AE12" s="91">
        <f>AD12/AC12</f>
        <v>0</v>
      </c>
      <c r="AF12" s="86">
        <f t="shared" si="4"/>
        <v>1100</v>
      </c>
      <c r="AG12" s="86">
        <f t="shared" si="4"/>
        <v>0</v>
      </c>
      <c r="AH12" s="91">
        <f>AG12/AF12</f>
        <v>0</v>
      </c>
      <c r="AI12" s="86">
        <f t="shared" si="4"/>
        <v>1100</v>
      </c>
      <c r="AJ12" s="86">
        <f t="shared" si="4"/>
        <v>0</v>
      </c>
      <c r="AK12" s="91">
        <f>AJ12/AI12</f>
        <v>0</v>
      </c>
      <c r="AL12" s="86">
        <f t="shared" si="4"/>
        <v>1100</v>
      </c>
      <c r="AM12" s="86">
        <f t="shared" si="4"/>
        <v>0</v>
      </c>
      <c r="AN12" s="91">
        <f>AM12/AL12</f>
        <v>0</v>
      </c>
      <c r="AO12" s="86">
        <f t="shared" si="4"/>
        <v>1100</v>
      </c>
      <c r="AP12" s="86">
        <f t="shared" si="4"/>
        <v>0</v>
      </c>
      <c r="AQ12" s="91">
        <f>AP12/AO12</f>
        <v>0</v>
      </c>
      <c r="AR12" s="86">
        <f t="shared" si="4"/>
        <v>7000.4444444444443</v>
      </c>
      <c r="AS12" s="86">
        <f>AS8+AS9+AS10+AS11</f>
        <v>485</v>
      </c>
      <c r="AT12" s="96">
        <f>AS12/AR12</f>
        <v>6.9281315472033519E-2</v>
      </c>
      <c r="AU12" s="86">
        <f t="shared" si="4"/>
        <v>13600.444444444445</v>
      </c>
      <c r="AV12" s="86">
        <f t="shared" si="4"/>
        <v>2204</v>
      </c>
      <c r="AW12" s="101">
        <f>AV12/AU12</f>
        <v>0.16205352766249467</v>
      </c>
      <c r="AX12" s="191"/>
      <c r="AY12" s="191"/>
      <c r="BA12" s="54"/>
    </row>
    <row r="13" spans="1:53" ht="80.25" customHeight="1" outlineLevel="1">
      <c r="B13" s="244" t="s">
        <v>8</v>
      </c>
      <c r="C13" s="245"/>
      <c r="D13" s="246"/>
      <c r="E13" s="106" t="s">
        <v>5</v>
      </c>
      <c r="F13" s="107" t="s">
        <v>4</v>
      </c>
      <c r="G13" s="108" t="s">
        <v>56</v>
      </c>
      <c r="H13" s="109" t="s">
        <v>5</v>
      </c>
      <c r="I13" s="110" t="s">
        <v>4</v>
      </c>
      <c r="J13" s="108" t="s">
        <v>56</v>
      </c>
      <c r="K13" s="110" t="s">
        <v>5</v>
      </c>
      <c r="L13" s="110" t="s">
        <v>4</v>
      </c>
      <c r="M13" s="108" t="s">
        <v>56</v>
      </c>
      <c r="N13" s="110" t="s">
        <v>5</v>
      </c>
      <c r="O13" s="110" t="s">
        <v>4</v>
      </c>
      <c r="P13" s="108" t="s">
        <v>56</v>
      </c>
      <c r="Q13" s="106" t="s">
        <v>5</v>
      </c>
      <c r="R13" s="110" t="s">
        <v>4</v>
      </c>
      <c r="S13" s="108" t="s">
        <v>56</v>
      </c>
      <c r="T13" s="110" t="s">
        <v>5</v>
      </c>
      <c r="U13" s="110" t="s">
        <v>4</v>
      </c>
      <c r="V13" s="108" t="s">
        <v>56</v>
      </c>
      <c r="W13" s="110" t="s">
        <v>5</v>
      </c>
      <c r="X13" s="110" t="s">
        <v>4</v>
      </c>
      <c r="Y13" s="108" t="s">
        <v>56</v>
      </c>
      <c r="Z13" s="106" t="s">
        <v>5</v>
      </c>
      <c r="AA13" s="110" t="s">
        <v>4</v>
      </c>
      <c r="AB13" s="108" t="s">
        <v>56</v>
      </c>
      <c r="AC13" s="110" t="s">
        <v>5</v>
      </c>
      <c r="AD13" s="110" t="s">
        <v>4</v>
      </c>
      <c r="AE13" s="108" t="s">
        <v>56</v>
      </c>
      <c r="AF13" s="110" t="s">
        <v>5</v>
      </c>
      <c r="AG13" s="110" t="s">
        <v>4</v>
      </c>
      <c r="AH13" s="108" t="s">
        <v>56</v>
      </c>
      <c r="AI13" s="110" t="s">
        <v>5</v>
      </c>
      <c r="AJ13" s="110" t="s">
        <v>4</v>
      </c>
      <c r="AK13" s="108" t="s">
        <v>56</v>
      </c>
      <c r="AL13" s="110" t="s">
        <v>5</v>
      </c>
      <c r="AM13" s="110" t="s">
        <v>4</v>
      </c>
      <c r="AN13" s="108" t="s">
        <v>56</v>
      </c>
      <c r="AO13" s="110" t="s">
        <v>5</v>
      </c>
      <c r="AP13" s="110" t="s">
        <v>4</v>
      </c>
      <c r="AQ13" s="108" t="s">
        <v>56</v>
      </c>
      <c r="AR13" s="110" t="s">
        <v>5</v>
      </c>
      <c r="AS13" s="110" t="s">
        <v>4</v>
      </c>
      <c r="AT13" s="108" t="s">
        <v>56</v>
      </c>
      <c r="AU13" s="110" t="s">
        <v>5</v>
      </c>
      <c r="AV13" s="110" t="s">
        <v>4</v>
      </c>
      <c r="AW13" s="108" t="s">
        <v>56</v>
      </c>
      <c r="BA13" s="54"/>
    </row>
    <row r="14" spans="1:53" ht="80.25" customHeight="1">
      <c r="B14" s="207" t="s">
        <v>7</v>
      </c>
      <c r="C14" s="208"/>
      <c r="D14" s="209"/>
      <c r="E14" s="79">
        <v>0</v>
      </c>
      <c r="F14" s="70">
        <v>87.9</v>
      </c>
      <c r="G14" s="96" t="e">
        <f>F14/E14</f>
        <v>#DIV/0!</v>
      </c>
      <c r="H14" s="75">
        <v>400</v>
      </c>
      <c r="I14" s="70">
        <v>149.4</v>
      </c>
      <c r="J14" s="96">
        <f>I14/H14</f>
        <v>0.3735</v>
      </c>
      <c r="K14" s="70">
        <v>0</v>
      </c>
      <c r="L14" s="70">
        <v>67.2</v>
      </c>
      <c r="M14" s="96" t="e">
        <f>L14/K14</f>
        <v>#DIV/0!</v>
      </c>
      <c r="N14" s="70">
        <v>400</v>
      </c>
      <c r="O14" s="70">
        <v>124.2</v>
      </c>
      <c r="P14" s="96">
        <f>O14/N14</f>
        <v>0.3105</v>
      </c>
      <c r="Q14" s="79">
        <v>0</v>
      </c>
      <c r="R14" s="70">
        <v>186</v>
      </c>
      <c r="S14" s="96" t="e">
        <f>R14/Q14</f>
        <v>#DIV/0!</v>
      </c>
      <c r="T14" s="70">
        <v>400</v>
      </c>
      <c r="U14" s="70">
        <v>82</v>
      </c>
      <c r="V14" s="96">
        <f>U14/T14</f>
        <v>0.20499999999999999</v>
      </c>
      <c r="W14" s="70">
        <f t="shared" ref="W14:X16" si="5">E14+H14+K14+N14+Q14+T14</f>
        <v>1200</v>
      </c>
      <c r="X14" s="70">
        <f t="shared" si="5"/>
        <v>696.7</v>
      </c>
      <c r="Y14" s="96">
        <f>X14/W14</f>
        <v>0.58058333333333334</v>
      </c>
      <c r="Z14" s="79">
        <v>0</v>
      </c>
      <c r="AA14" s="70">
        <v>407.4</v>
      </c>
      <c r="AB14" s="96" t="e">
        <f>AA14/Z14</f>
        <v>#DIV/0!</v>
      </c>
      <c r="AC14" s="70">
        <v>400</v>
      </c>
      <c r="AD14" s="70"/>
      <c r="AE14" s="96">
        <f>AD14/AC14</f>
        <v>0</v>
      </c>
      <c r="AF14" s="70">
        <v>0</v>
      </c>
      <c r="AG14" s="70"/>
      <c r="AH14" s="96" t="e">
        <f>AG14/AF14</f>
        <v>#DIV/0!</v>
      </c>
      <c r="AI14" s="70">
        <v>400</v>
      </c>
      <c r="AJ14" s="70"/>
      <c r="AK14" s="96">
        <f>AJ14/AI14</f>
        <v>0</v>
      </c>
      <c r="AL14" s="70">
        <v>0</v>
      </c>
      <c r="AM14" s="70"/>
      <c r="AN14" s="96" t="e">
        <f>AM14/AL14</f>
        <v>#DIV/0!</v>
      </c>
      <c r="AO14" s="70">
        <v>400</v>
      </c>
      <c r="AP14" s="70"/>
      <c r="AQ14" s="96">
        <f>AP14/AO14</f>
        <v>0</v>
      </c>
      <c r="AR14" s="70">
        <f t="shared" ref="AR14:AS16" si="6">Z14+AC14+AF14+AI14+AL14+AO14</f>
        <v>1200</v>
      </c>
      <c r="AS14" s="70">
        <f t="shared" si="6"/>
        <v>407.4</v>
      </c>
      <c r="AT14" s="96">
        <f>AS14/AR14</f>
        <v>0.33949999999999997</v>
      </c>
      <c r="AU14" s="70">
        <f t="shared" ref="AU14:AV16" si="7">W14+AR14</f>
        <v>2400</v>
      </c>
      <c r="AV14" s="70">
        <f t="shared" si="7"/>
        <v>1104.0999999999999</v>
      </c>
      <c r="AW14" s="101">
        <f>AV14/AU14</f>
        <v>0.46004166666666663</v>
      </c>
      <c r="AX14" s="191"/>
      <c r="BA14" s="54"/>
    </row>
    <row r="15" spans="1:53" ht="80.25" customHeight="1">
      <c r="B15" s="201" t="s">
        <v>1</v>
      </c>
      <c r="C15" s="202"/>
      <c r="D15" s="203"/>
      <c r="E15" s="76">
        <v>0</v>
      </c>
      <c r="F15" s="67"/>
      <c r="G15" s="96" t="e">
        <f>F15/E15</f>
        <v>#DIV/0!</v>
      </c>
      <c r="H15" s="72">
        <v>0</v>
      </c>
      <c r="I15" s="67">
        <v>0</v>
      </c>
      <c r="J15" s="96" t="e">
        <f>I15/H15</f>
        <v>#DIV/0!</v>
      </c>
      <c r="K15" s="67">
        <v>0</v>
      </c>
      <c r="L15" s="67"/>
      <c r="M15" s="96" t="e">
        <f>L15/K15</f>
        <v>#DIV/0!</v>
      </c>
      <c r="N15" s="67">
        <v>0</v>
      </c>
      <c r="O15" s="67"/>
      <c r="P15" s="96" t="e">
        <f>O15/N15</f>
        <v>#DIV/0!</v>
      </c>
      <c r="Q15" s="76">
        <v>0</v>
      </c>
      <c r="R15" s="67">
        <v>0</v>
      </c>
      <c r="S15" s="96" t="e">
        <f>R15/Q15</f>
        <v>#DIV/0!</v>
      </c>
      <c r="T15" s="67">
        <v>0</v>
      </c>
      <c r="U15" s="67">
        <v>0</v>
      </c>
      <c r="V15" s="96" t="e">
        <f>U15/T15</f>
        <v>#DIV/0!</v>
      </c>
      <c r="W15" s="67">
        <f t="shared" si="5"/>
        <v>0</v>
      </c>
      <c r="X15" s="67">
        <f t="shared" si="5"/>
        <v>0</v>
      </c>
      <c r="Y15" s="96" t="e">
        <f>X15/W15</f>
        <v>#DIV/0!</v>
      </c>
      <c r="Z15" s="76">
        <v>0</v>
      </c>
      <c r="AA15" s="67">
        <v>0</v>
      </c>
      <c r="AB15" s="96" t="e">
        <f>AA15/Z15</f>
        <v>#DIV/0!</v>
      </c>
      <c r="AC15" s="67">
        <v>0</v>
      </c>
      <c r="AD15" s="67"/>
      <c r="AE15" s="96" t="e">
        <f>AD15/AC15</f>
        <v>#DIV/0!</v>
      </c>
      <c r="AF15" s="67">
        <v>0</v>
      </c>
      <c r="AG15" s="67"/>
      <c r="AH15" s="96" t="e">
        <f>AG15/AF15</f>
        <v>#DIV/0!</v>
      </c>
      <c r="AI15" s="67">
        <v>0</v>
      </c>
      <c r="AJ15" s="67"/>
      <c r="AK15" s="96" t="e">
        <f>AJ15/AI15</f>
        <v>#DIV/0!</v>
      </c>
      <c r="AL15" s="67">
        <v>0</v>
      </c>
      <c r="AM15" s="67"/>
      <c r="AN15" s="96" t="e">
        <f>AM15/AL15</f>
        <v>#DIV/0!</v>
      </c>
      <c r="AO15" s="67">
        <v>0</v>
      </c>
      <c r="AP15" s="67"/>
      <c r="AQ15" s="96" t="e">
        <f>AP15/AO15</f>
        <v>#DIV/0!</v>
      </c>
      <c r="AR15" s="67">
        <f t="shared" si="6"/>
        <v>0</v>
      </c>
      <c r="AS15" s="67">
        <f t="shared" si="6"/>
        <v>0</v>
      </c>
      <c r="AT15" s="96" t="e">
        <f>AS15/AR15</f>
        <v>#DIV/0!</v>
      </c>
      <c r="AU15" s="67">
        <f t="shared" si="7"/>
        <v>0</v>
      </c>
      <c r="AV15" s="67">
        <f t="shared" si="7"/>
        <v>0</v>
      </c>
      <c r="AW15" s="101" t="e">
        <f>AV15/AU15</f>
        <v>#DIV/0!</v>
      </c>
      <c r="AX15" s="191"/>
      <c r="BA15" s="54"/>
    </row>
    <row r="16" spans="1:53" ht="80.25" customHeight="1">
      <c r="B16" s="201" t="s">
        <v>16</v>
      </c>
      <c r="C16" s="202"/>
      <c r="D16" s="203"/>
      <c r="E16" s="76">
        <v>0</v>
      </c>
      <c r="F16" s="67"/>
      <c r="G16" s="96" t="e">
        <f>F16/E16</f>
        <v>#DIV/0!</v>
      </c>
      <c r="H16" s="72">
        <v>0</v>
      </c>
      <c r="I16" s="67">
        <v>0</v>
      </c>
      <c r="J16" s="96" t="e">
        <f>I16/H16</f>
        <v>#DIV/0!</v>
      </c>
      <c r="K16" s="67">
        <v>0</v>
      </c>
      <c r="L16" s="67"/>
      <c r="M16" s="96" t="e">
        <f>L16/K16</f>
        <v>#DIV/0!</v>
      </c>
      <c r="N16" s="67">
        <v>0</v>
      </c>
      <c r="O16" s="67"/>
      <c r="P16" s="96" t="e">
        <f>O16/N16</f>
        <v>#DIV/0!</v>
      </c>
      <c r="Q16" s="76">
        <v>0</v>
      </c>
      <c r="R16" s="67">
        <v>0</v>
      </c>
      <c r="S16" s="96" t="e">
        <f>R16/Q16</f>
        <v>#DIV/0!</v>
      </c>
      <c r="T16" s="67">
        <v>0</v>
      </c>
      <c r="U16" s="67">
        <v>0</v>
      </c>
      <c r="V16" s="96" t="e">
        <f>U16/T16</f>
        <v>#DIV/0!</v>
      </c>
      <c r="W16" s="67">
        <f t="shared" si="5"/>
        <v>0</v>
      </c>
      <c r="X16" s="67">
        <f t="shared" si="5"/>
        <v>0</v>
      </c>
      <c r="Y16" s="96" t="e">
        <f>X16/W16</f>
        <v>#DIV/0!</v>
      </c>
      <c r="Z16" s="76">
        <v>0</v>
      </c>
      <c r="AA16" s="67">
        <v>0</v>
      </c>
      <c r="AB16" s="96" t="e">
        <f>AA16/Z16</f>
        <v>#DIV/0!</v>
      </c>
      <c r="AC16" s="67">
        <v>0</v>
      </c>
      <c r="AD16" s="67"/>
      <c r="AE16" s="96" t="e">
        <f>AD16/AC16</f>
        <v>#DIV/0!</v>
      </c>
      <c r="AF16" s="67">
        <v>0</v>
      </c>
      <c r="AG16" s="67"/>
      <c r="AH16" s="96" t="e">
        <f>AG16/AF16</f>
        <v>#DIV/0!</v>
      </c>
      <c r="AI16" s="67">
        <v>0</v>
      </c>
      <c r="AJ16" s="67"/>
      <c r="AK16" s="96" t="e">
        <f>AJ16/AI16</f>
        <v>#DIV/0!</v>
      </c>
      <c r="AL16" s="67">
        <v>0</v>
      </c>
      <c r="AM16" s="67"/>
      <c r="AN16" s="96" t="e">
        <f>AM16/AL16</f>
        <v>#DIV/0!</v>
      </c>
      <c r="AO16" s="67">
        <v>0</v>
      </c>
      <c r="AP16" s="67"/>
      <c r="AQ16" s="96" t="e">
        <f>AP16/AO16</f>
        <v>#DIV/0!</v>
      </c>
      <c r="AR16" s="67">
        <f t="shared" si="6"/>
        <v>0</v>
      </c>
      <c r="AS16" s="67">
        <f t="shared" si="6"/>
        <v>0</v>
      </c>
      <c r="AT16" s="96" t="e">
        <f>AS16/AR16</f>
        <v>#DIV/0!</v>
      </c>
      <c r="AU16" s="67">
        <f t="shared" si="7"/>
        <v>0</v>
      </c>
      <c r="AV16" s="67">
        <f t="shared" si="7"/>
        <v>0</v>
      </c>
      <c r="AW16" s="101" t="e">
        <f>AV16/AU16</f>
        <v>#DIV/0!</v>
      </c>
      <c r="AX16" s="191"/>
      <c r="BA16" s="54"/>
    </row>
    <row r="17" spans="1:59" ht="80.25" customHeight="1">
      <c r="B17" s="250" t="s">
        <v>15</v>
      </c>
      <c r="C17" s="251"/>
      <c r="D17" s="252"/>
      <c r="E17" s="84">
        <f t="shared" ref="E17:AV17" si="8">SUM(E14:E16)</f>
        <v>0</v>
      </c>
      <c r="F17" s="86">
        <f t="shared" si="8"/>
        <v>87.9</v>
      </c>
      <c r="G17" s="96" t="e">
        <f>F17/E17</f>
        <v>#DIV/0!</v>
      </c>
      <c r="H17" s="85">
        <f t="shared" si="8"/>
        <v>400</v>
      </c>
      <c r="I17" s="86">
        <f t="shared" si="8"/>
        <v>149.4</v>
      </c>
      <c r="J17" s="96">
        <f>I17/H17</f>
        <v>0.3735</v>
      </c>
      <c r="K17" s="86">
        <f t="shared" si="8"/>
        <v>0</v>
      </c>
      <c r="L17" s="86">
        <f t="shared" si="8"/>
        <v>67.2</v>
      </c>
      <c r="M17" s="96" t="e">
        <f>L17/K17</f>
        <v>#DIV/0!</v>
      </c>
      <c r="N17" s="86">
        <f t="shared" si="8"/>
        <v>400</v>
      </c>
      <c r="O17" s="86">
        <f t="shared" si="8"/>
        <v>124.2</v>
      </c>
      <c r="P17" s="96">
        <f>O17/N17</f>
        <v>0.3105</v>
      </c>
      <c r="Q17" s="84">
        <f t="shared" si="8"/>
        <v>0</v>
      </c>
      <c r="R17" s="86">
        <f t="shared" si="8"/>
        <v>186</v>
      </c>
      <c r="S17" s="96" t="e">
        <f>R17/Q17</f>
        <v>#DIV/0!</v>
      </c>
      <c r="T17" s="86">
        <f t="shared" si="8"/>
        <v>400</v>
      </c>
      <c r="U17" s="86">
        <f t="shared" si="8"/>
        <v>82</v>
      </c>
      <c r="V17" s="96">
        <f>U17/T17</f>
        <v>0.20499999999999999</v>
      </c>
      <c r="W17" s="86">
        <f t="shared" si="8"/>
        <v>1200</v>
      </c>
      <c r="X17" s="86">
        <f t="shared" si="8"/>
        <v>696.7</v>
      </c>
      <c r="Y17" s="96">
        <f>X17/W17</f>
        <v>0.58058333333333334</v>
      </c>
      <c r="Z17" s="84">
        <f t="shared" si="8"/>
        <v>0</v>
      </c>
      <c r="AA17" s="86">
        <f t="shared" si="8"/>
        <v>407.4</v>
      </c>
      <c r="AB17" s="96" t="e">
        <f>AA17/Z17</f>
        <v>#DIV/0!</v>
      </c>
      <c r="AC17" s="86">
        <f t="shared" si="8"/>
        <v>400</v>
      </c>
      <c r="AD17" s="86">
        <f t="shared" si="8"/>
        <v>0</v>
      </c>
      <c r="AE17" s="96">
        <f>AD17/AC17</f>
        <v>0</v>
      </c>
      <c r="AF17" s="86">
        <f t="shared" si="8"/>
        <v>0</v>
      </c>
      <c r="AG17" s="86">
        <f t="shared" si="8"/>
        <v>0</v>
      </c>
      <c r="AH17" s="96" t="e">
        <f>AG17/AF17</f>
        <v>#DIV/0!</v>
      </c>
      <c r="AI17" s="86">
        <f t="shared" si="8"/>
        <v>400</v>
      </c>
      <c r="AJ17" s="86">
        <f t="shared" si="8"/>
        <v>0</v>
      </c>
      <c r="AK17" s="96">
        <f>AJ17/AI17</f>
        <v>0</v>
      </c>
      <c r="AL17" s="86">
        <f t="shared" si="8"/>
        <v>0</v>
      </c>
      <c r="AM17" s="86">
        <f t="shared" si="8"/>
        <v>0</v>
      </c>
      <c r="AN17" s="96" t="e">
        <f>AM17/AL17</f>
        <v>#DIV/0!</v>
      </c>
      <c r="AO17" s="86">
        <f t="shared" si="8"/>
        <v>400</v>
      </c>
      <c r="AP17" s="86">
        <f t="shared" si="8"/>
        <v>0</v>
      </c>
      <c r="AQ17" s="96">
        <f>AP17/AO17</f>
        <v>0</v>
      </c>
      <c r="AR17" s="86">
        <f t="shared" si="8"/>
        <v>1200</v>
      </c>
      <c r="AS17" s="86">
        <f t="shared" si="8"/>
        <v>407.4</v>
      </c>
      <c r="AT17" s="96">
        <f>AS17/AR17</f>
        <v>0.33949999999999997</v>
      </c>
      <c r="AU17" s="86">
        <f t="shared" si="8"/>
        <v>2400</v>
      </c>
      <c r="AV17" s="86">
        <f t="shared" si="8"/>
        <v>1104.0999999999999</v>
      </c>
      <c r="AW17" s="101">
        <f>AV17/AU17</f>
        <v>0.46004166666666663</v>
      </c>
      <c r="AX17" s="65"/>
      <c r="AY17" s="65"/>
      <c r="BA17" s="54"/>
    </row>
    <row r="18" spans="1:59" ht="80.25" customHeight="1">
      <c r="B18" s="224" t="s">
        <v>17</v>
      </c>
      <c r="C18" s="225"/>
      <c r="D18" s="226"/>
      <c r="E18" s="112" t="s">
        <v>5</v>
      </c>
      <c r="F18" s="113" t="s">
        <v>4</v>
      </c>
      <c r="G18" s="114" t="s">
        <v>56</v>
      </c>
      <c r="H18" s="115" t="s">
        <v>5</v>
      </c>
      <c r="I18" s="116" t="s">
        <v>4</v>
      </c>
      <c r="J18" s="114" t="s">
        <v>56</v>
      </c>
      <c r="K18" s="116" t="s">
        <v>5</v>
      </c>
      <c r="L18" s="116" t="s">
        <v>4</v>
      </c>
      <c r="M18" s="114" t="s">
        <v>56</v>
      </c>
      <c r="N18" s="116" t="s">
        <v>5</v>
      </c>
      <c r="O18" s="116" t="s">
        <v>4</v>
      </c>
      <c r="P18" s="114" t="s">
        <v>56</v>
      </c>
      <c r="Q18" s="112" t="s">
        <v>5</v>
      </c>
      <c r="R18" s="116" t="s">
        <v>4</v>
      </c>
      <c r="S18" s="114" t="s">
        <v>56</v>
      </c>
      <c r="T18" s="116" t="s">
        <v>5</v>
      </c>
      <c r="U18" s="116" t="s">
        <v>4</v>
      </c>
      <c r="V18" s="114" t="s">
        <v>56</v>
      </c>
      <c r="W18" s="116" t="s">
        <v>5</v>
      </c>
      <c r="X18" s="116" t="s">
        <v>4</v>
      </c>
      <c r="Y18" s="114" t="s">
        <v>56</v>
      </c>
      <c r="Z18" s="112" t="s">
        <v>5</v>
      </c>
      <c r="AA18" s="116" t="s">
        <v>4</v>
      </c>
      <c r="AB18" s="114" t="s">
        <v>56</v>
      </c>
      <c r="AC18" s="116" t="s">
        <v>5</v>
      </c>
      <c r="AD18" s="116" t="s">
        <v>4</v>
      </c>
      <c r="AE18" s="114" t="s">
        <v>56</v>
      </c>
      <c r="AF18" s="116" t="s">
        <v>5</v>
      </c>
      <c r="AG18" s="116" t="s">
        <v>4</v>
      </c>
      <c r="AH18" s="114" t="s">
        <v>56</v>
      </c>
      <c r="AI18" s="116" t="s">
        <v>5</v>
      </c>
      <c r="AJ18" s="116" t="s">
        <v>4</v>
      </c>
      <c r="AK18" s="114" t="s">
        <v>56</v>
      </c>
      <c r="AL18" s="116" t="s">
        <v>5</v>
      </c>
      <c r="AM18" s="116" t="s">
        <v>4</v>
      </c>
      <c r="AN18" s="114" t="s">
        <v>56</v>
      </c>
      <c r="AO18" s="116" t="s">
        <v>5</v>
      </c>
      <c r="AP18" s="116" t="s">
        <v>4</v>
      </c>
      <c r="AQ18" s="114" t="s">
        <v>56</v>
      </c>
      <c r="AR18" s="116" t="s">
        <v>5</v>
      </c>
      <c r="AS18" s="116" t="s">
        <v>4</v>
      </c>
      <c r="AT18" s="114" t="s">
        <v>56</v>
      </c>
      <c r="AU18" s="116" t="s">
        <v>5</v>
      </c>
      <c r="AV18" s="116" t="s">
        <v>4</v>
      </c>
      <c r="AW18" s="114" t="s">
        <v>56</v>
      </c>
      <c r="AX18" s="65"/>
      <c r="AY18" s="65"/>
      <c r="BA18" s="54"/>
    </row>
    <row r="19" spans="1:59" ht="80.25" customHeight="1">
      <c r="B19" s="227" t="s">
        <v>40</v>
      </c>
      <c r="C19" s="228"/>
      <c r="D19" s="229"/>
      <c r="E19" s="76"/>
      <c r="F19" s="67"/>
      <c r="G19" s="96" t="e">
        <f>F19/E19</f>
        <v>#DIV/0!</v>
      </c>
      <c r="H19" s="72"/>
      <c r="I19" s="67">
        <v>400</v>
      </c>
      <c r="J19" s="96" t="e">
        <f>I19/H19</f>
        <v>#DIV/0!</v>
      </c>
      <c r="K19" s="67"/>
      <c r="L19" s="67">
        <v>800</v>
      </c>
      <c r="M19" s="96" t="e">
        <f>L19/K19</f>
        <v>#DIV/0!</v>
      </c>
      <c r="N19" s="67"/>
      <c r="O19" s="67"/>
      <c r="P19" s="96" t="e">
        <f>O19/N19</f>
        <v>#DIV/0!</v>
      </c>
      <c r="Q19" s="76"/>
      <c r="R19" s="67">
        <v>0</v>
      </c>
      <c r="S19" s="96" t="e">
        <f>R19/Q19</f>
        <v>#DIV/0!</v>
      </c>
      <c r="T19" s="67"/>
      <c r="U19" s="67">
        <v>0</v>
      </c>
      <c r="V19" s="96" t="e">
        <f>U19/T19</f>
        <v>#DIV/0!</v>
      </c>
      <c r="W19" s="67">
        <f t="shared" ref="W19:X22" si="9">E19+H19+K19+N19+Q19+T19</f>
        <v>0</v>
      </c>
      <c r="X19" s="67">
        <f t="shared" si="9"/>
        <v>1200</v>
      </c>
      <c r="Y19" s="96" t="e">
        <f>X19/W19</f>
        <v>#DIV/0!</v>
      </c>
      <c r="Z19" s="76"/>
      <c r="AA19" s="67">
        <v>0</v>
      </c>
      <c r="AB19" s="96" t="e">
        <f>AA19/Z19</f>
        <v>#DIV/0!</v>
      </c>
      <c r="AC19" s="67"/>
      <c r="AD19" s="67"/>
      <c r="AE19" s="96" t="e">
        <f>AD19/AC19</f>
        <v>#DIV/0!</v>
      </c>
      <c r="AF19" s="67"/>
      <c r="AG19" s="67"/>
      <c r="AH19" s="96" t="e">
        <f>AG19/AF19</f>
        <v>#DIV/0!</v>
      </c>
      <c r="AI19" s="67"/>
      <c r="AJ19" s="67"/>
      <c r="AK19" s="96" t="e">
        <f>AJ19/AI19</f>
        <v>#DIV/0!</v>
      </c>
      <c r="AL19" s="67"/>
      <c r="AM19" s="67"/>
      <c r="AN19" s="96" t="e">
        <f>AM19/AL19</f>
        <v>#DIV/0!</v>
      </c>
      <c r="AO19" s="67"/>
      <c r="AP19" s="67"/>
      <c r="AQ19" s="96" t="e">
        <f>AP19/AO19</f>
        <v>#DIV/0!</v>
      </c>
      <c r="AR19" s="67">
        <f t="shared" ref="AR19:AS22" si="10">Z19+AC19+AF19+AI19+AL19+AO19</f>
        <v>0</v>
      </c>
      <c r="AS19" s="67">
        <f t="shared" si="10"/>
        <v>0</v>
      </c>
      <c r="AT19" s="96" t="e">
        <f>AS19/AR19</f>
        <v>#DIV/0!</v>
      </c>
      <c r="AU19" s="67">
        <f t="shared" ref="AU19:AV22" si="11">W19+AR19</f>
        <v>0</v>
      </c>
      <c r="AV19" s="67">
        <f t="shared" si="11"/>
        <v>1200</v>
      </c>
      <c r="AW19" s="101" t="e">
        <f>AV19/AU19</f>
        <v>#DIV/0!</v>
      </c>
      <c r="AX19" s="65"/>
      <c r="AY19" s="65"/>
      <c r="BA19" s="54"/>
    </row>
    <row r="20" spans="1:59" ht="80.25" customHeight="1">
      <c r="B20" s="207" t="s">
        <v>41</v>
      </c>
      <c r="C20" s="208"/>
      <c r="D20" s="209"/>
      <c r="E20" s="79">
        <v>3000</v>
      </c>
      <c r="F20" s="67">
        <v>800</v>
      </c>
      <c r="G20" s="96">
        <f>F20/E20</f>
        <v>0.26666666666666666</v>
      </c>
      <c r="H20" s="75">
        <v>3000</v>
      </c>
      <c r="I20" s="67">
        <v>2400</v>
      </c>
      <c r="J20" s="96">
        <f>I20/H20</f>
        <v>0.8</v>
      </c>
      <c r="K20" s="70">
        <v>3000</v>
      </c>
      <c r="L20" s="67">
        <v>2400</v>
      </c>
      <c r="M20" s="96">
        <f>L20/K20</f>
        <v>0.8</v>
      </c>
      <c r="N20" s="70">
        <v>3000</v>
      </c>
      <c r="O20" s="67">
        <v>1000</v>
      </c>
      <c r="P20" s="96">
        <f>O20/N20</f>
        <v>0.33333333333333331</v>
      </c>
      <c r="Q20" s="79">
        <v>3000</v>
      </c>
      <c r="R20" s="67">
        <v>600</v>
      </c>
      <c r="S20" s="96">
        <f>R20/Q20</f>
        <v>0.2</v>
      </c>
      <c r="T20" s="70">
        <v>3000</v>
      </c>
      <c r="U20" s="67">
        <v>1200</v>
      </c>
      <c r="V20" s="96">
        <f>U20/T20</f>
        <v>0.4</v>
      </c>
      <c r="W20" s="67">
        <f t="shared" si="9"/>
        <v>18000</v>
      </c>
      <c r="X20" s="67">
        <f t="shared" si="9"/>
        <v>8400</v>
      </c>
      <c r="Y20" s="96">
        <f>X20/W20</f>
        <v>0.46666666666666667</v>
      </c>
      <c r="Z20" s="79">
        <v>3000</v>
      </c>
      <c r="AA20" s="67">
        <v>800</v>
      </c>
      <c r="AB20" s="96">
        <f>AA20/Z20</f>
        <v>0.26666666666666666</v>
      </c>
      <c r="AC20" s="70">
        <v>3000</v>
      </c>
      <c r="AD20" s="67"/>
      <c r="AE20" s="96">
        <f>AD20/AC20</f>
        <v>0</v>
      </c>
      <c r="AF20" s="70">
        <v>3000</v>
      </c>
      <c r="AG20" s="67"/>
      <c r="AH20" s="96">
        <f>AG20/AF20</f>
        <v>0</v>
      </c>
      <c r="AI20" s="70">
        <v>3000</v>
      </c>
      <c r="AJ20" s="67"/>
      <c r="AK20" s="96">
        <f>AJ20/AI20</f>
        <v>0</v>
      </c>
      <c r="AL20" s="70">
        <v>3000</v>
      </c>
      <c r="AM20" s="67"/>
      <c r="AN20" s="96">
        <f>AM20/AL20</f>
        <v>0</v>
      </c>
      <c r="AO20" s="70">
        <v>3000</v>
      </c>
      <c r="AP20" s="67"/>
      <c r="AQ20" s="96">
        <f>AP20/AO20</f>
        <v>0</v>
      </c>
      <c r="AR20" s="67">
        <f t="shared" si="10"/>
        <v>18000</v>
      </c>
      <c r="AS20" s="67">
        <f t="shared" si="10"/>
        <v>800</v>
      </c>
      <c r="AT20" s="96">
        <f>AS20/AR20</f>
        <v>4.4444444444444446E-2</v>
      </c>
      <c r="AU20" s="67">
        <f t="shared" si="11"/>
        <v>36000</v>
      </c>
      <c r="AV20" s="67">
        <f t="shared" si="11"/>
        <v>9200</v>
      </c>
      <c r="AW20" s="101">
        <f>AV20/AU20</f>
        <v>0.25555555555555554</v>
      </c>
      <c r="AX20" s="65"/>
      <c r="AY20" s="65"/>
      <c r="BA20" s="54"/>
    </row>
    <row r="21" spans="1:59" ht="80.25" customHeight="1">
      <c r="B21" s="201" t="s">
        <v>38</v>
      </c>
      <c r="C21" s="202"/>
      <c r="D21" s="203"/>
      <c r="E21" s="76"/>
      <c r="F21" s="67">
        <v>720</v>
      </c>
      <c r="G21" s="96" t="e">
        <f>F21/E21</f>
        <v>#DIV/0!</v>
      </c>
      <c r="H21" s="72"/>
      <c r="I21" s="67">
        <v>390</v>
      </c>
      <c r="J21" s="96" t="e">
        <f>I21/H21</f>
        <v>#DIV/0!</v>
      </c>
      <c r="K21" s="67"/>
      <c r="L21" s="67">
        <v>450</v>
      </c>
      <c r="M21" s="96" t="e">
        <f>L21/K21</f>
        <v>#DIV/0!</v>
      </c>
      <c r="N21" s="67"/>
      <c r="O21" s="67">
        <v>210</v>
      </c>
      <c r="P21" s="96" t="e">
        <f>O21/N21</f>
        <v>#DIV/0!</v>
      </c>
      <c r="Q21" s="76"/>
      <c r="R21" s="67">
        <v>870</v>
      </c>
      <c r="S21" s="96" t="e">
        <f>R21/Q21</f>
        <v>#DIV/0!</v>
      </c>
      <c r="T21" s="67"/>
      <c r="U21" s="67">
        <v>630</v>
      </c>
      <c r="V21" s="96" t="e">
        <f>U21/T21</f>
        <v>#DIV/0!</v>
      </c>
      <c r="W21" s="67">
        <f t="shared" si="9"/>
        <v>0</v>
      </c>
      <c r="X21" s="67">
        <f t="shared" si="9"/>
        <v>3270</v>
      </c>
      <c r="Y21" s="96" t="e">
        <f>X21/W21</f>
        <v>#DIV/0!</v>
      </c>
      <c r="Z21" s="76"/>
      <c r="AA21" s="67">
        <v>390</v>
      </c>
      <c r="AB21" s="96" t="e">
        <f>AA21/Z21</f>
        <v>#DIV/0!</v>
      </c>
      <c r="AC21" s="67"/>
      <c r="AD21" s="67"/>
      <c r="AE21" s="96" t="e">
        <f>AD21/AC21</f>
        <v>#DIV/0!</v>
      </c>
      <c r="AF21" s="67"/>
      <c r="AG21" s="67"/>
      <c r="AH21" s="96" t="e">
        <f>AG21/AF21</f>
        <v>#DIV/0!</v>
      </c>
      <c r="AI21" s="67"/>
      <c r="AJ21" s="67"/>
      <c r="AK21" s="96" t="e">
        <f>AJ21/AI21</f>
        <v>#DIV/0!</v>
      </c>
      <c r="AL21" s="67"/>
      <c r="AM21" s="67"/>
      <c r="AN21" s="96" t="e">
        <f>AM21/AL21</f>
        <v>#DIV/0!</v>
      </c>
      <c r="AO21" s="67"/>
      <c r="AP21" s="67"/>
      <c r="AQ21" s="96" t="e">
        <f>AP21/AO21</f>
        <v>#DIV/0!</v>
      </c>
      <c r="AR21" s="67">
        <f t="shared" si="10"/>
        <v>0</v>
      </c>
      <c r="AS21" s="67">
        <f t="shared" si="10"/>
        <v>390</v>
      </c>
      <c r="AT21" s="96" t="e">
        <f>AS21/AR21</f>
        <v>#DIV/0!</v>
      </c>
      <c r="AU21" s="67">
        <f t="shared" si="11"/>
        <v>0</v>
      </c>
      <c r="AV21" s="67">
        <f t="shared" si="11"/>
        <v>3660</v>
      </c>
      <c r="AW21" s="101" t="e">
        <f>AV21/AU21</f>
        <v>#DIV/0!</v>
      </c>
      <c r="AX21" s="65"/>
      <c r="AY21" s="65"/>
      <c r="BA21" s="54"/>
    </row>
    <row r="22" spans="1:59" ht="80.25" customHeight="1">
      <c r="B22" s="230" t="s">
        <v>37</v>
      </c>
      <c r="C22" s="231"/>
      <c r="D22" s="232"/>
      <c r="E22" s="76">
        <v>1500</v>
      </c>
      <c r="F22" s="67">
        <v>1550</v>
      </c>
      <c r="G22" s="96">
        <f>F22/E22</f>
        <v>1.0333333333333334</v>
      </c>
      <c r="H22" s="72">
        <v>1500</v>
      </c>
      <c r="I22" s="67">
        <v>1630</v>
      </c>
      <c r="J22" s="96">
        <f>I22/H22</f>
        <v>1.0866666666666667</v>
      </c>
      <c r="K22" s="67">
        <v>1500</v>
      </c>
      <c r="L22" s="67">
        <v>1760</v>
      </c>
      <c r="M22" s="96">
        <f>L22/K22</f>
        <v>1.1733333333333333</v>
      </c>
      <c r="N22" s="67">
        <v>1500</v>
      </c>
      <c r="O22" s="67">
        <v>1850</v>
      </c>
      <c r="P22" s="96">
        <f>O22/N22</f>
        <v>1.2333333333333334</v>
      </c>
      <c r="Q22" s="76">
        <v>1500</v>
      </c>
      <c r="R22" s="67">
        <v>1870</v>
      </c>
      <c r="S22" s="96">
        <f>R22/Q22</f>
        <v>1.2466666666666666</v>
      </c>
      <c r="T22" s="67">
        <v>1500</v>
      </c>
      <c r="U22" s="67">
        <v>1900</v>
      </c>
      <c r="V22" s="96">
        <f>U22/T22</f>
        <v>1.2666666666666666</v>
      </c>
      <c r="W22" s="67">
        <f t="shared" si="9"/>
        <v>9000</v>
      </c>
      <c r="X22" s="67">
        <f t="shared" si="9"/>
        <v>10560</v>
      </c>
      <c r="Y22" s="96">
        <f>X22/W22</f>
        <v>1.1733333333333333</v>
      </c>
      <c r="Z22" s="76">
        <v>1500</v>
      </c>
      <c r="AA22" s="67">
        <v>1940</v>
      </c>
      <c r="AB22" s="96">
        <f>AA22/Z22</f>
        <v>1.2933333333333332</v>
      </c>
      <c r="AC22" s="67">
        <v>1500</v>
      </c>
      <c r="AD22" s="67"/>
      <c r="AE22" s="96">
        <f>AD22/AC22</f>
        <v>0</v>
      </c>
      <c r="AF22" s="67">
        <v>1500</v>
      </c>
      <c r="AG22" s="67"/>
      <c r="AH22" s="96">
        <f>AG22/AF22</f>
        <v>0</v>
      </c>
      <c r="AI22" s="67">
        <v>1500</v>
      </c>
      <c r="AJ22" s="67"/>
      <c r="AK22" s="96">
        <f>AJ22/AI22</f>
        <v>0</v>
      </c>
      <c r="AL22" s="67">
        <v>1500</v>
      </c>
      <c r="AM22" s="67"/>
      <c r="AN22" s="96">
        <f>AM22/AL22</f>
        <v>0</v>
      </c>
      <c r="AO22" s="67">
        <v>1500</v>
      </c>
      <c r="AP22" s="67"/>
      <c r="AQ22" s="96">
        <f>AP22/AO22</f>
        <v>0</v>
      </c>
      <c r="AR22" s="67">
        <f t="shared" si="10"/>
        <v>9000</v>
      </c>
      <c r="AS22" s="67">
        <f t="shared" si="10"/>
        <v>1940</v>
      </c>
      <c r="AT22" s="96">
        <f>AS22/AR22</f>
        <v>0.21555555555555556</v>
      </c>
      <c r="AU22" s="67">
        <f t="shared" si="11"/>
        <v>18000</v>
      </c>
      <c r="AV22" s="67">
        <f t="shared" si="11"/>
        <v>12500</v>
      </c>
      <c r="AW22" s="101">
        <f>AV22/AU22</f>
        <v>0.69444444444444442</v>
      </c>
      <c r="AX22" s="65"/>
      <c r="AY22" s="65"/>
      <c r="BA22" s="54"/>
    </row>
    <row r="23" spans="1:59" ht="104" customHeight="1" thickBot="1">
      <c r="B23" s="247" t="s">
        <v>15</v>
      </c>
      <c r="C23" s="248"/>
      <c r="D23" s="249"/>
      <c r="E23" s="102">
        <f>SUM(E19:E22)</f>
        <v>4500</v>
      </c>
      <c r="F23" s="94">
        <f t="shared" ref="F23:AV23" si="12">SUM(F19:F22)</f>
        <v>3070</v>
      </c>
      <c r="G23" s="91">
        <f>F23/E23</f>
        <v>0.68222222222222217</v>
      </c>
      <c r="H23" s="85">
        <f t="shared" si="12"/>
        <v>4500</v>
      </c>
      <c r="I23" s="86">
        <f t="shared" si="12"/>
        <v>4820</v>
      </c>
      <c r="J23" s="91">
        <f>I23/H23</f>
        <v>1.0711111111111111</v>
      </c>
      <c r="K23" s="86">
        <f t="shared" si="12"/>
        <v>4500</v>
      </c>
      <c r="L23" s="86">
        <f t="shared" si="12"/>
        <v>5410</v>
      </c>
      <c r="M23" s="91">
        <f>L23/K23</f>
        <v>1.2022222222222223</v>
      </c>
      <c r="N23" s="86">
        <f t="shared" si="12"/>
        <v>4500</v>
      </c>
      <c r="O23" s="90">
        <f t="shared" si="12"/>
        <v>3060</v>
      </c>
      <c r="P23" s="91">
        <f>O23/N23</f>
        <v>0.68</v>
      </c>
      <c r="Q23" s="118">
        <f t="shared" si="12"/>
        <v>4500</v>
      </c>
      <c r="R23" s="119">
        <f t="shared" si="12"/>
        <v>3340</v>
      </c>
      <c r="S23" s="120">
        <f>R23/Q23</f>
        <v>0.74222222222222223</v>
      </c>
      <c r="T23" s="103">
        <f t="shared" si="12"/>
        <v>4500</v>
      </c>
      <c r="U23" s="86">
        <f t="shared" si="12"/>
        <v>3730</v>
      </c>
      <c r="V23" s="91">
        <f>U23/T23</f>
        <v>0.8288888888888889</v>
      </c>
      <c r="W23" s="85">
        <f t="shared" si="12"/>
        <v>27000</v>
      </c>
      <c r="X23" s="86">
        <f t="shared" si="12"/>
        <v>23430</v>
      </c>
      <c r="Y23" s="104">
        <f>X23/W23</f>
        <v>0.86777777777777776</v>
      </c>
      <c r="Z23" s="121">
        <f t="shared" si="12"/>
        <v>4500</v>
      </c>
      <c r="AA23" s="119">
        <f t="shared" si="12"/>
        <v>3130</v>
      </c>
      <c r="AB23" s="120">
        <f>AA23/Z23</f>
        <v>0.69555555555555559</v>
      </c>
      <c r="AC23" s="86">
        <f t="shared" si="12"/>
        <v>4500</v>
      </c>
      <c r="AD23" s="86">
        <f t="shared" si="12"/>
        <v>0</v>
      </c>
      <c r="AE23" s="91">
        <f>AD23/AC23</f>
        <v>0</v>
      </c>
      <c r="AF23" s="86">
        <f t="shared" si="12"/>
        <v>4500</v>
      </c>
      <c r="AG23" s="86">
        <f t="shared" si="12"/>
        <v>0</v>
      </c>
      <c r="AH23" s="91">
        <f>AG23/AF23</f>
        <v>0</v>
      </c>
      <c r="AI23" s="86">
        <f t="shared" si="12"/>
        <v>4500</v>
      </c>
      <c r="AJ23" s="86">
        <f t="shared" si="12"/>
        <v>0</v>
      </c>
      <c r="AK23" s="91">
        <f>AJ23/AI23</f>
        <v>0</v>
      </c>
      <c r="AL23" s="86">
        <f t="shared" si="12"/>
        <v>4500</v>
      </c>
      <c r="AM23" s="86">
        <f t="shared" si="12"/>
        <v>0</v>
      </c>
      <c r="AN23" s="91">
        <f>AM23/AL23</f>
        <v>0</v>
      </c>
      <c r="AO23" s="86">
        <f t="shared" si="12"/>
        <v>4500</v>
      </c>
      <c r="AP23" s="86">
        <f t="shared" si="12"/>
        <v>0</v>
      </c>
      <c r="AQ23" s="91">
        <f>AP23/AO23</f>
        <v>0</v>
      </c>
      <c r="AR23" s="86">
        <f>SUM(AR19:AR22)</f>
        <v>27000</v>
      </c>
      <c r="AS23" s="86">
        <f t="shared" ref="AS23" si="13">SUM(AS19:AS22)</f>
        <v>3130</v>
      </c>
      <c r="AT23" s="104">
        <f>AS23/AR23</f>
        <v>0.11592592592592593</v>
      </c>
      <c r="AU23" s="86">
        <f t="shared" si="12"/>
        <v>54000</v>
      </c>
      <c r="AV23" s="86">
        <f t="shared" si="12"/>
        <v>26560</v>
      </c>
      <c r="AW23" s="105">
        <f>AV23/AU23</f>
        <v>0.49185185185185187</v>
      </c>
    </row>
    <row r="24" spans="1:59" s="63" customFormat="1" ht="141.75" customHeight="1">
      <c r="A24" s="64"/>
      <c r="O24" s="83"/>
      <c r="AU24" s="87"/>
      <c r="AV24" s="87"/>
      <c r="AW24" s="87"/>
    </row>
    <row r="25" spans="1:59" ht="80.25" customHeight="1">
      <c r="B25" s="80"/>
      <c r="C25" s="80"/>
      <c r="D25" s="80"/>
      <c r="E25" s="220"/>
      <c r="F25" s="220"/>
      <c r="G25" s="80"/>
      <c r="H25" s="80"/>
      <c r="I25" s="80"/>
      <c r="J25" s="80"/>
      <c r="K25" s="80"/>
      <c r="L25" s="80"/>
      <c r="M25" s="80"/>
      <c r="N25" s="80"/>
      <c r="O25" s="80"/>
      <c r="P25" s="80"/>
      <c r="Q25" s="80"/>
      <c r="R25" s="80"/>
      <c r="S25" s="80"/>
      <c r="T25" s="80"/>
      <c r="U25" s="80"/>
      <c r="V25" s="80"/>
      <c r="W25" s="80"/>
      <c r="X25" s="80"/>
      <c r="Y25" s="80"/>
      <c r="Z25" s="80"/>
      <c r="AA25" s="80"/>
      <c r="AB25" s="80"/>
      <c r="AC25" s="80"/>
      <c r="AD25" s="80"/>
      <c r="AE25" s="80"/>
      <c r="AF25" s="80"/>
      <c r="AG25" s="80"/>
      <c r="AH25" s="80"/>
      <c r="AI25" s="80"/>
      <c r="AJ25" s="80"/>
      <c r="AK25" s="80"/>
      <c r="AL25" s="80"/>
      <c r="AM25" s="80"/>
      <c r="AN25" s="80"/>
      <c r="AO25" s="80"/>
      <c r="AP25" s="80"/>
      <c r="AQ25" s="80"/>
      <c r="AR25" s="80"/>
      <c r="AS25" s="80"/>
      <c r="AT25" s="80"/>
      <c r="AU25" s="80"/>
      <c r="AV25" s="80"/>
      <c r="AW25" s="80"/>
    </row>
    <row r="26" spans="1:59" s="58" customFormat="1" ht="20.25" customHeight="1">
      <c r="A26" s="54"/>
      <c r="B26" s="55"/>
      <c r="E26" s="65"/>
      <c r="F26" s="65"/>
      <c r="G26" s="65"/>
      <c r="H26" s="65"/>
      <c r="I26" s="57"/>
      <c r="J26" s="65"/>
      <c r="K26" s="57"/>
      <c r="L26" s="65"/>
      <c r="M26" s="65"/>
      <c r="N26" s="65"/>
      <c r="O26" s="65"/>
      <c r="P26" s="65"/>
      <c r="Q26" s="65"/>
      <c r="R26" s="65"/>
      <c r="S26" s="65"/>
      <c r="T26" s="65"/>
      <c r="U26" s="65"/>
      <c r="V26" s="65"/>
      <c r="W26" s="65"/>
      <c r="X26" s="65"/>
      <c r="Y26" s="57"/>
      <c r="Z26" s="65"/>
      <c r="AA26" s="65"/>
      <c r="AB26" s="65"/>
      <c r="AC26" s="65"/>
      <c r="AD26" s="57"/>
      <c r="AE26" s="65"/>
      <c r="AF26" s="57"/>
      <c r="AG26" s="65"/>
      <c r="AH26" s="65"/>
      <c r="AI26" s="65"/>
      <c r="AJ26" s="65"/>
      <c r="AK26" s="65"/>
      <c r="AL26" s="65"/>
      <c r="AM26" s="65"/>
      <c r="AN26" s="65"/>
      <c r="AO26" s="65"/>
      <c r="AP26" s="65"/>
      <c r="AQ26" s="65"/>
      <c r="AR26" s="65"/>
      <c r="AS26" s="65"/>
      <c r="AT26" s="57"/>
      <c r="AU26" s="65"/>
      <c r="AV26" s="65"/>
      <c r="AW26" s="66"/>
      <c r="BB26" s="59"/>
      <c r="BC26" s="59"/>
      <c r="BD26" s="59"/>
      <c r="BE26" s="59"/>
      <c r="BF26" s="59"/>
      <c r="BG26" s="59"/>
    </row>
    <row r="27" spans="1:59" s="58" customFormat="1" ht="20.25" customHeight="1">
      <c r="A27" s="54"/>
      <c r="B27" s="55"/>
      <c r="E27" s="65"/>
      <c r="F27" s="65"/>
      <c r="G27" s="65"/>
      <c r="H27" s="65"/>
      <c r="I27" s="57"/>
      <c r="J27" s="65"/>
      <c r="K27" s="57"/>
      <c r="L27" s="65"/>
      <c r="M27" s="65"/>
      <c r="N27" s="65"/>
      <c r="O27" s="65"/>
      <c r="P27" s="65"/>
      <c r="Q27" s="65"/>
      <c r="R27" s="65"/>
      <c r="S27" s="65"/>
      <c r="T27" s="65"/>
      <c r="U27" s="65"/>
      <c r="V27" s="65"/>
      <c r="W27" s="65"/>
      <c r="X27" s="65"/>
      <c r="Y27" s="57"/>
      <c r="Z27" s="65"/>
      <c r="AA27" s="65"/>
      <c r="AB27" s="65"/>
      <c r="AC27" s="65"/>
      <c r="AD27" s="57"/>
      <c r="AE27" s="65"/>
      <c r="AF27" s="57"/>
      <c r="AG27" s="65"/>
      <c r="AH27" s="65"/>
      <c r="AI27" s="65"/>
      <c r="AJ27" s="65"/>
      <c r="AK27" s="65"/>
      <c r="AL27" s="65"/>
      <c r="AM27" s="65"/>
      <c r="AN27" s="65"/>
      <c r="AO27" s="65"/>
      <c r="AP27" s="65"/>
      <c r="AQ27" s="65"/>
      <c r="AR27" s="65"/>
      <c r="AS27" s="65"/>
      <c r="AT27" s="57"/>
      <c r="AU27" s="65"/>
      <c r="AV27" s="65"/>
      <c r="AW27" s="66"/>
      <c r="BB27" s="59"/>
      <c r="BC27" s="59"/>
      <c r="BD27" s="59"/>
      <c r="BE27" s="59"/>
      <c r="BF27" s="59"/>
      <c r="BG27" s="59"/>
    </row>
    <row r="28" spans="1:59" s="58" customFormat="1" ht="20.25" customHeight="1">
      <c r="A28" s="54"/>
      <c r="B28" s="55"/>
      <c r="E28" s="65"/>
      <c r="F28" s="65"/>
      <c r="G28" s="65"/>
      <c r="H28" s="65"/>
      <c r="I28" s="57"/>
      <c r="J28" s="65"/>
      <c r="K28" s="57"/>
      <c r="L28" s="57"/>
      <c r="M28" s="65"/>
      <c r="N28" s="57"/>
      <c r="O28" s="57"/>
      <c r="P28" s="65"/>
      <c r="Q28" s="57"/>
      <c r="R28" s="57"/>
      <c r="S28" s="65"/>
      <c r="T28" s="57"/>
      <c r="U28" s="57"/>
      <c r="V28" s="65"/>
      <c r="W28" s="57"/>
      <c r="X28" s="57"/>
      <c r="Y28" s="57"/>
      <c r="Z28" s="65"/>
      <c r="AA28" s="65"/>
      <c r="AB28" s="65"/>
      <c r="AC28" s="65"/>
      <c r="AD28" s="57"/>
      <c r="AE28" s="65"/>
      <c r="AF28" s="57"/>
      <c r="AG28" s="57"/>
      <c r="AH28" s="65"/>
      <c r="AI28" s="57"/>
      <c r="AJ28" s="57"/>
      <c r="AK28" s="65"/>
      <c r="AL28" s="57"/>
      <c r="AM28" s="57"/>
      <c r="AN28" s="65"/>
      <c r="AO28" s="57"/>
      <c r="AP28" s="57"/>
      <c r="AQ28" s="65"/>
      <c r="AR28" s="57"/>
      <c r="AS28" s="57"/>
      <c r="AT28" s="57"/>
      <c r="AU28" s="57"/>
      <c r="AV28" s="57"/>
      <c r="AW28" s="66"/>
      <c r="BB28" s="59"/>
      <c r="BC28" s="59"/>
      <c r="BD28" s="59"/>
      <c r="BE28" s="59"/>
      <c r="BF28" s="59"/>
      <c r="BG28" s="59"/>
    </row>
    <row r="29" spans="1:59" s="58" customFormat="1" ht="20.25" customHeight="1">
      <c r="A29" s="54"/>
      <c r="B29" s="55"/>
      <c r="C29" s="56"/>
      <c r="D29" s="56"/>
      <c r="E29" s="57"/>
      <c r="F29" s="57"/>
      <c r="G29" s="57"/>
      <c r="H29" s="57"/>
      <c r="I29" s="57"/>
      <c r="J29" s="57"/>
      <c r="K29" s="57"/>
      <c r="L29" s="57"/>
      <c r="M29" s="57"/>
      <c r="N29" s="57"/>
      <c r="O29" s="57"/>
      <c r="P29" s="57"/>
      <c r="Q29" s="57"/>
      <c r="R29" s="57"/>
      <c r="S29" s="57"/>
      <c r="T29" s="57"/>
      <c r="U29" s="57"/>
      <c r="V29" s="57"/>
      <c r="W29" s="57"/>
      <c r="X29" s="57"/>
      <c r="Y29" s="57"/>
      <c r="Z29" s="57"/>
      <c r="AA29" s="57"/>
      <c r="AB29" s="57"/>
      <c r="AC29" s="57"/>
      <c r="AD29" s="57"/>
      <c r="AE29" s="57"/>
      <c r="AF29" s="57"/>
      <c r="AG29" s="57"/>
      <c r="AH29" s="57"/>
      <c r="AI29" s="57"/>
      <c r="AJ29" s="57"/>
      <c r="AK29" s="57"/>
      <c r="AL29" s="57"/>
      <c r="AM29" s="57"/>
      <c r="AN29" s="57"/>
      <c r="AO29" s="57"/>
      <c r="AP29" s="57"/>
      <c r="AQ29" s="57"/>
      <c r="AR29" s="57"/>
      <c r="AS29" s="57"/>
      <c r="AT29" s="57"/>
      <c r="AU29" s="57"/>
      <c r="AV29" s="57"/>
      <c r="AW29" s="66"/>
      <c r="BB29" s="59"/>
      <c r="BC29" s="59"/>
      <c r="BD29" s="59"/>
      <c r="BE29" s="59"/>
      <c r="BF29" s="59"/>
      <c r="BG29" s="59"/>
    </row>
    <row r="30" spans="1:59" s="58" customFormat="1" ht="20.25" customHeight="1">
      <c r="A30" s="54"/>
      <c r="B30" s="55"/>
      <c r="C30" s="56"/>
      <c r="D30" s="56"/>
      <c r="E30" s="57"/>
      <c r="F30" s="57"/>
      <c r="G30" s="57"/>
      <c r="H30" s="57"/>
      <c r="I30" s="57"/>
      <c r="J30" s="57"/>
      <c r="K30" s="57"/>
      <c r="L30" s="65"/>
      <c r="M30" s="57"/>
      <c r="N30" s="57"/>
      <c r="O30" s="57"/>
      <c r="P30" s="57"/>
      <c r="Q30" s="57"/>
      <c r="R30" s="57"/>
      <c r="S30" s="57"/>
      <c r="T30" s="57"/>
      <c r="U30" s="57"/>
      <c r="V30" s="57"/>
      <c r="W30" s="57"/>
      <c r="X30" s="57"/>
      <c r="Y30" s="57"/>
      <c r="Z30" s="57"/>
      <c r="AA30" s="57"/>
      <c r="AB30" s="57"/>
      <c r="AC30" s="57"/>
      <c r="AD30" s="57"/>
      <c r="AE30" s="57"/>
      <c r="AF30" s="57"/>
      <c r="AG30" s="65"/>
      <c r="AH30" s="57"/>
      <c r="AI30" s="57"/>
      <c r="AJ30" s="57"/>
      <c r="AK30" s="57"/>
      <c r="AL30" s="57"/>
      <c r="AM30" s="57"/>
      <c r="AN30" s="57"/>
      <c r="AO30" s="57"/>
      <c r="AP30" s="57"/>
      <c r="AQ30" s="57"/>
      <c r="AR30" s="57"/>
      <c r="AS30" s="57"/>
      <c r="AT30" s="57"/>
      <c r="AU30" s="57"/>
      <c r="AV30" s="57"/>
      <c r="AW30" s="66"/>
      <c r="BB30" s="59"/>
      <c r="BC30" s="59"/>
      <c r="BD30" s="59"/>
      <c r="BE30" s="59"/>
      <c r="BF30" s="59"/>
      <c r="BG30" s="59"/>
    </row>
    <row r="31" spans="1:59" s="58" customFormat="1" ht="20.25" customHeight="1">
      <c r="A31" s="54"/>
      <c r="B31" s="55"/>
      <c r="C31" s="56"/>
      <c r="D31" s="56"/>
      <c r="E31" s="57"/>
      <c r="F31" s="57"/>
      <c r="G31" s="57"/>
      <c r="H31" s="57"/>
      <c r="I31" s="57"/>
      <c r="J31" s="57"/>
      <c r="K31" s="57"/>
      <c r="L31" s="57"/>
      <c r="M31" s="57"/>
      <c r="N31" s="57"/>
      <c r="O31" s="57"/>
      <c r="P31" s="57"/>
      <c r="Q31" s="57"/>
      <c r="R31" s="57"/>
      <c r="S31" s="57"/>
      <c r="T31" s="57"/>
      <c r="U31" s="57"/>
      <c r="V31" s="57"/>
      <c r="W31" s="57"/>
      <c r="X31" s="57"/>
      <c r="Y31" s="57"/>
      <c r="Z31" s="57"/>
      <c r="AA31" s="57"/>
      <c r="AB31" s="57"/>
      <c r="AC31" s="57"/>
      <c r="AD31" s="57"/>
      <c r="AE31" s="57"/>
      <c r="AF31" s="57"/>
      <c r="AG31" s="57"/>
      <c r="AH31" s="57"/>
      <c r="AI31" s="57"/>
      <c r="AJ31" s="57"/>
      <c r="AK31" s="57"/>
      <c r="AL31" s="57"/>
      <c r="AM31" s="57"/>
      <c r="AN31" s="57"/>
      <c r="AO31" s="57"/>
      <c r="AP31" s="57"/>
      <c r="AQ31" s="57"/>
      <c r="AR31" s="57"/>
      <c r="AS31" s="57"/>
      <c r="AT31" s="57"/>
      <c r="AU31" s="57"/>
      <c r="AV31" s="57"/>
      <c r="AW31" s="66"/>
      <c r="BB31" s="59"/>
      <c r="BC31" s="59"/>
      <c r="BD31" s="59"/>
      <c r="BE31" s="59"/>
      <c r="BF31" s="59"/>
      <c r="BG31" s="59"/>
    </row>
    <row r="32" spans="1:59" s="58" customFormat="1" ht="20.25" customHeight="1">
      <c r="A32" s="54"/>
      <c r="B32" s="55"/>
      <c r="C32" s="56"/>
      <c r="D32" s="56"/>
      <c r="E32" s="57"/>
      <c r="F32" s="57"/>
      <c r="G32" s="57"/>
      <c r="H32" s="57"/>
      <c r="I32" s="57"/>
      <c r="J32" s="57"/>
      <c r="K32" s="57"/>
      <c r="L32" s="57"/>
      <c r="M32" s="57"/>
      <c r="N32" s="57"/>
      <c r="O32" s="57"/>
      <c r="P32" s="57"/>
      <c r="Q32" s="57"/>
      <c r="R32" s="57"/>
      <c r="S32" s="57"/>
      <c r="T32" s="57"/>
      <c r="U32" s="57"/>
      <c r="V32" s="57"/>
      <c r="W32" s="57"/>
      <c r="X32" s="57"/>
      <c r="Y32" s="57"/>
      <c r="Z32" s="57"/>
      <c r="AA32" s="57"/>
      <c r="AB32" s="57"/>
      <c r="AC32" s="57"/>
      <c r="AD32" s="57"/>
      <c r="AE32" s="57"/>
      <c r="AF32" s="57"/>
      <c r="AG32" s="57"/>
      <c r="AH32" s="57"/>
      <c r="AI32" s="57"/>
      <c r="AJ32" s="57"/>
      <c r="AK32" s="57"/>
      <c r="AL32" s="57"/>
      <c r="AM32" s="57"/>
      <c r="AN32" s="57"/>
      <c r="AO32" s="57"/>
      <c r="AP32" s="57"/>
      <c r="AQ32" s="57"/>
      <c r="AR32" s="57"/>
      <c r="AS32" s="57"/>
      <c r="AT32" s="57"/>
      <c r="AU32" s="57"/>
      <c r="AV32" s="57"/>
      <c r="AW32" s="66"/>
      <c r="BB32" s="59"/>
      <c r="BC32" s="59"/>
      <c r="BD32" s="59"/>
      <c r="BE32" s="59"/>
      <c r="BF32" s="59"/>
      <c r="BG32" s="59"/>
    </row>
  </sheetData>
  <mergeCells count="44">
    <mergeCell ref="E25:F25"/>
    <mergeCell ref="B17:D17"/>
    <mergeCell ref="B18:D18"/>
    <mergeCell ref="B19:D19"/>
    <mergeCell ref="B20:D20"/>
    <mergeCell ref="B21:D21"/>
    <mergeCell ref="B22:D22"/>
    <mergeCell ref="B14:D14"/>
    <mergeCell ref="AX14:AX16"/>
    <mergeCell ref="B15:D15"/>
    <mergeCell ref="B16:D16"/>
    <mergeCell ref="B23:D23"/>
    <mergeCell ref="B11:D11"/>
    <mergeCell ref="B12:D12"/>
    <mergeCell ref="AX12:AY12"/>
    <mergeCell ref="B10:D10"/>
    <mergeCell ref="B13:D13"/>
    <mergeCell ref="AU4:AW4"/>
    <mergeCell ref="B6:D6"/>
    <mergeCell ref="Z4:AB4"/>
    <mergeCell ref="AC4:AE4"/>
    <mergeCell ref="AX8:AX9"/>
    <mergeCell ref="B9:D9"/>
    <mergeCell ref="B7:D7"/>
    <mergeCell ref="B8:D8"/>
    <mergeCell ref="B5:D5"/>
    <mergeCell ref="T4:V4"/>
    <mergeCell ref="W4:Y4"/>
    <mergeCell ref="A2:D2"/>
    <mergeCell ref="AY2:AZ2"/>
    <mergeCell ref="B3:D3"/>
    <mergeCell ref="AX3:AY3"/>
    <mergeCell ref="B4:D4"/>
    <mergeCell ref="E4:G4"/>
    <mergeCell ref="H4:J4"/>
    <mergeCell ref="K4:M4"/>
    <mergeCell ref="N4:P4"/>
    <mergeCell ref="Q4:S4"/>
    <mergeCell ref="AX4:AY4"/>
    <mergeCell ref="AF4:AH4"/>
    <mergeCell ref="AI4:AK4"/>
    <mergeCell ref="AL4:AN4"/>
    <mergeCell ref="AO4:AQ4"/>
    <mergeCell ref="AR4:AT4"/>
  </mergeCells>
  <phoneticPr fontId="1"/>
  <printOptions horizontalCentered="1"/>
  <pageMargins left="0.25" right="0.25" top="0.75" bottom="0.75" header="0.3" footer="0.3"/>
  <pageSetup paperSize="8" scale="22" orientation="landscape" r:id="rId1"/>
  <headerFooter>
    <oddHeader>&amp;R&amp;"HG丸ｺﾞｼｯｸM-PRO,標準"&amp;14ＳＨＣ</oddHeader>
  </headerFooter>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AC4AEB-A973-44DF-8CAE-2FE27CD8F04D}">
  <sheetPr>
    <tabColor rgb="FF7030A0"/>
    <pageSetUpPr fitToPage="1"/>
  </sheetPr>
  <dimension ref="A1:BG32"/>
  <sheetViews>
    <sheetView showGridLines="0" view="pageBreakPreview" topLeftCell="B1" zoomScale="34" zoomScaleNormal="100" zoomScaleSheetLayoutView="34" zoomScalePageLayoutView="80" workbookViewId="0">
      <pane xSplit="3" ySplit="6" topLeftCell="E13" activePane="bottomRight" state="frozen"/>
      <selection activeCell="B1" sqref="B1"/>
      <selection pane="topRight" activeCell="E1" sqref="E1"/>
      <selection pane="bottomLeft" activeCell="B6" sqref="B6"/>
      <selection pane="bottomRight" activeCell="AA15" sqref="AA15"/>
    </sheetView>
  </sheetViews>
  <sheetFormatPr defaultColWidth="9" defaultRowHeight="20.25" customHeight="1" outlineLevelRow="1"/>
  <cols>
    <col min="1" max="1" width="9" style="54"/>
    <col min="2" max="2" width="20.59765625" style="55" customWidth="1"/>
    <col min="3" max="4" width="20.59765625" style="56" customWidth="1"/>
    <col min="5" max="8" width="18.265625" style="57" customWidth="1"/>
    <col min="9" max="9" width="16.1328125" style="57" customWidth="1"/>
    <col min="10" max="22" width="18.265625" style="57" customWidth="1"/>
    <col min="23" max="23" width="23.33203125" style="57" bestFit="1" customWidth="1"/>
    <col min="24" max="43" width="18.265625" style="57" customWidth="1"/>
    <col min="44" max="44" width="23.33203125" style="57" bestFit="1" customWidth="1"/>
    <col min="45" max="46" width="18.265625" style="57" customWidth="1"/>
    <col min="47" max="47" width="23.33203125" style="57" bestFit="1" customWidth="1"/>
    <col min="48" max="48" width="18.265625" style="57" customWidth="1"/>
    <col min="49" max="49" width="18.265625" style="66" customWidth="1"/>
    <col min="50" max="51" width="10.06640625" style="58" customWidth="1"/>
    <col min="52" max="52" width="12.33203125" style="58" customWidth="1"/>
    <col min="53" max="53" width="2.33203125" style="58" customWidth="1"/>
    <col min="54" max="58" width="9" style="59"/>
    <col min="59" max="59" width="25.796875" style="59" customWidth="1"/>
    <col min="60" max="16384" width="9" style="59"/>
  </cols>
  <sheetData>
    <row r="1" spans="1:53" ht="20.25" customHeight="1">
      <c r="AW1" s="57"/>
    </row>
    <row r="2" spans="1:53" s="63" customFormat="1" ht="80.25" customHeight="1">
      <c r="A2" s="180" t="s">
        <v>39</v>
      </c>
      <c r="B2" s="180"/>
      <c r="C2" s="180"/>
      <c r="D2" s="180"/>
      <c r="E2" s="60"/>
      <c r="F2" s="60"/>
      <c r="G2" s="60"/>
      <c r="H2" s="60"/>
      <c r="I2" s="60"/>
      <c r="J2" s="60"/>
      <c r="K2" s="60"/>
      <c r="L2" s="60"/>
      <c r="M2" s="60"/>
      <c r="N2" s="60"/>
      <c r="O2" s="60"/>
      <c r="P2" s="60"/>
      <c r="Q2" s="60"/>
      <c r="R2" s="60"/>
      <c r="S2" s="60"/>
      <c r="T2" s="60"/>
      <c r="U2" s="60"/>
      <c r="V2" s="60"/>
      <c r="W2" s="60"/>
      <c r="X2" s="60"/>
      <c r="Y2" s="60"/>
      <c r="Z2" s="60"/>
      <c r="AA2" s="60"/>
      <c r="AB2" s="60"/>
      <c r="AC2" s="60"/>
      <c r="AD2" s="60"/>
      <c r="AE2" s="60"/>
      <c r="AF2" s="60"/>
      <c r="AG2" s="60"/>
      <c r="AH2" s="60"/>
      <c r="AI2" s="60"/>
      <c r="AJ2" s="60"/>
      <c r="AK2" s="60"/>
      <c r="AL2" s="60"/>
      <c r="AM2" s="60"/>
      <c r="AN2" s="60"/>
      <c r="AO2" s="60"/>
      <c r="AP2" s="60"/>
      <c r="AQ2" s="60"/>
      <c r="AR2" s="60"/>
      <c r="AS2" s="60"/>
      <c r="AT2" s="60"/>
      <c r="AU2" s="60"/>
      <c r="AV2" s="60"/>
      <c r="AW2" s="60"/>
      <c r="AX2" s="61"/>
      <c r="AY2" s="181"/>
      <c r="AZ2" s="182"/>
      <c r="BA2" s="62"/>
    </row>
    <row r="3" spans="1:53" s="63" customFormat="1" ht="80.25" customHeight="1" thickBot="1">
      <c r="A3" s="64"/>
      <c r="B3" s="183" t="s">
        <v>57</v>
      </c>
      <c r="C3" s="183"/>
      <c r="D3" s="183"/>
      <c r="E3" s="60"/>
      <c r="F3" s="60"/>
      <c r="G3" s="60"/>
      <c r="H3" s="60"/>
      <c r="I3" s="60"/>
      <c r="J3" s="60"/>
      <c r="K3" s="60"/>
      <c r="L3" s="60"/>
      <c r="M3" s="60"/>
      <c r="N3" s="60"/>
      <c r="O3" s="60"/>
      <c r="P3" s="60"/>
      <c r="Q3" s="60"/>
      <c r="R3" s="60"/>
      <c r="S3" s="60"/>
      <c r="T3" s="60"/>
      <c r="U3" s="60"/>
      <c r="V3" s="60"/>
      <c r="W3" s="60"/>
      <c r="X3" s="60"/>
      <c r="Y3" s="60"/>
      <c r="Z3" s="60"/>
      <c r="AA3" s="60"/>
      <c r="AB3" s="60"/>
      <c r="AC3" s="60"/>
      <c r="AD3" s="60"/>
      <c r="AE3" s="60"/>
      <c r="AF3" s="60"/>
      <c r="AG3" s="60"/>
      <c r="AH3" s="60"/>
      <c r="AI3" s="60"/>
      <c r="AJ3" s="60"/>
      <c r="AK3" s="60"/>
      <c r="AL3" s="60"/>
      <c r="AM3" s="60"/>
      <c r="AN3" s="60"/>
      <c r="AO3" s="60"/>
      <c r="AP3" s="60"/>
      <c r="AQ3" s="60"/>
      <c r="AR3" s="60"/>
      <c r="AS3" s="60"/>
      <c r="AT3" s="60"/>
      <c r="AU3" s="60"/>
      <c r="AV3" s="60"/>
      <c r="AW3" s="60" t="s">
        <v>46</v>
      </c>
      <c r="AX3" s="184"/>
      <c r="AY3" s="184"/>
    </row>
    <row r="4" spans="1:53" ht="76.05" customHeight="1">
      <c r="B4" s="185"/>
      <c r="C4" s="186"/>
      <c r="D4" s="187"/>
      <c r="E4" s="188" t="s">
        <v>14</v>
      </c>
      <c r="F4" s="189"/>
      <c r="G4" s="190"/>
      <c r="H4" s="188" t="s">
        <v>13</v>
      </c>
      <c r="I4" s="189"/>
      <c r="J4" s="190"/>
      <c r="K4" s="188" t="s">
        <v>12</v>
      </c>
      <c r="L4" s="189"/>
      <c r="M4" s="190"/>
      <c r="N4" s="188" t="s">
        <v>11</v>
      </c>
      <c r="O4" s="189"/>
      <c r="P4" s="190"/>
      <c r="Q4" s="198" t="s">
        <v>10</v>
      </c>
      <c r="R4" s="199"/>
      <c r="S4" s="200"/>
      <c r="T4" s="188" t="s">
        <v>9</v>
      </c>
      <c r="U4" s="189"/>
      <c r="V4" s="190"/>
      <c r="W4" s="192" t="s">
        <v>43</v>
      </c>
      <c r="X4" s="193"/>
      <c r="Y4" s="194"/>
      <c r="Z4" s="188" t="s">
        <v>6</v>
      </c>
      <c r="AA4" s="189"/>
      <c r="AB4" s="190"/>
      <c r="AC4" s="188" t="s">
        <v>50</v>
      </c>
      <c r="AD4" s="189"/>
      <c r="AE4" s="190"/>
      <c r="AF4" s="188" t="s">
        <v>51</v>
      </c>
      <c r="AG4" s="189"/>
      <c r="AH4" s="190"/>
      <c r="AI4" s="188" t="s">
        <v>52</v>
      </c>
      <c r="AJ4" s="189"/>
      <c r="AK4" s="190"/>
      <c r="AL4" s="188" t="s">
        <v>53</v>
      </c>
      <c r="AM4" s="189"/>
      <c r="AN4" s="190"/>
      <c r="AO4" s="188" t="s">
        <v>54</v>
      </c>
      <c r="AP4" s="189"/>
      <c r="AQ4" s="190"/>
      <c r="AR4" s="192" t="s">
        <v>44</v>
      </c>
      <c r="AS4" s="193"/>
      <c r="AT4" s="194"/>
      <c r="AU4" s="235" t="s">
        <v>45</v>
      </c>
      <c r="AV4" s="236"/>
      <c r="AW4" s="237"/>
      <c r="AX4" s="191"/>
      <c r="AY4" s="191"/>
      <c r="AZ4" s="65"/>
      <c r="BA4" s="65"/>
    </row>
    <row r="5" spans="1:53" ht="88.5" customHeight="1">
      <c r="B5" s="210"/>
      <c r="C5" s="189"/>
      <c r="D5" s="190"/>
      <c r="E5" s="97" t="s">
        <v>47</v>
      </c>
      <c r="F5" s="98" t="s">
        <v>48</v>
      </c>
      <c r="G5" s="99" t="s">
        <v>49</v>
      </c>
      <c r="H5" s="97" t="s">
        <v>47</v>
      </c>
      <c r="I5" s="98" t="s">
        <v>48</v>
      </c>
      <c r="J5" s="99" t="s">
        <v>49</v>
      </c>
      <c r="K5" s="97" t="s">
        <v>47</v>
      </c>
      <c r="L5" s="98" t="s">
        <v>48</v>
      </c>
      <c r="M5" s="99" t="s">
        <v>49</v>
      </c>
      <c r="N5" s="97" t="s">
        <v>47</v>
      </c>
      <c r="O5" s="98" t="s">
        <v>48</v>
      </c>
      <c r="P5" s="99" t="s">
        <v>49</v>
      </c>
      <c r="Q5" s="97" t="s">
        <v>47</v>
      </c>
      <c r="R5" s="98" t="s">
        <v>48</v>
      </c>
      <c r="S5" s="99" t="s">
        <v>49</v>
      </c>
      <c r="T5" s="97" t="s">
        <v>47</v>
      </c>
      <c r="U5" s="98" t="s">
        <v>48</v>
      </c>
      <c r="V5" s="99" t="s">
        <v>49</v>
      </c>
      <c r="W5" s="97" t="s">
        <v>47</v>
      </c>
      <c r="X5" s="98" t="s">
        <v>48</v>
      </c>
      <c r="Y5" s="99" t="s">
        <v>49</v>
      </c>
      <c r="Z5" s="97" t="s">
        <v>47</v>
      </c>
      <c r="AA5" s="98" t="s">
        <v>48</v>
      </c>
      <c r="AB5" s="99" t="s">
        <v>49</v>
      </c>
      <c r="AC5" s="97" t="s">
        <v>47</v>
      </c>
      <c r="AD5" s="98" t="s">
        <v>48</v>
      </c>
      <c r="AE5" s="99" t="s">
        <v>49</v>
      </c>
      <c r="AF5" s="97" t="s">
        <v>47</v>
      </c>
      <c r="AG5" s="98" t="s">
        <v>48</v>
      </c>
      <c r="AH5" s="99" t="s">
        <v>49</v>
      </c>
      <c r="AI5" s="97" t="s">
        <v>47</v>
      </c>
      <c r="AJ5" s="98" t="s">
        <v>48</v>
      </c>
      <c r="AK5" s="99" t="s">
        <v>49</v>
      </c>
      <c r="AL5" s="97" t="s">
        <v>47</v>
      </c>
      <c r="AM5" s="98" t="s">
        <v>48</v>
      </c>
      <c r="AN5" s="99" t="s">
        <v>49</v>
      </c>
      <c r="AO5" s="97" t="s">
        <v>47</v>
      </c>
      <c r="AP5" s="98" t="s">
        <v>48</v>
      </c>
      <c r="AQ5" s="99" t="s">
        <v>49</v>
      </c>
      <c r="AR5" s="97" t="s">
        <v>47</v>
      </c>
      <c r="AS5" s="98" t="s">
        <v>48</v>
      </c>
      <c r="AT5" s="99" t="s">
        <v>49</v>
      </c>
      <c r="AU5" s="97" t="s">
        <v>47</v>
      </c>
      <c r="AV5" s="98" t="s">
        <v>48</v>
      </c>
      <c r="AW5" s="99" t="s">
        <v>49</v>
      </c>
      <c r="AX5" s="65"/>
      <c r="AY5" s="65"/>
      <c r="AZ5" s="65"/>
      <c r="BA5" s="65"/>
    </row>
    <row r="6" spans="1:53" ht="99" customHeight="1">
      <c r="B6" s="238" t="s">
        <v>18</v>
      </c>
      <c r="C6" s="239"/>
      <c r="D6" s="240"/>
      <c r="E6" s="92">
        <f>E12+E17+E23</f>
        <v>5600</v>
      </c>
      <c r="F6" s="93">
        <f>F12+F17+F23</f>
        <v>3687.9</v>
      </c>
      <c r="G6" s="88">
        <f>F6/E6</f>
        <v>0.6585535714285714</v>
      </c>
      <c r="H6" s="82">
        <f>H12+H17+H23</f>
        <v>6000</v>
      </c>
      <c r="I6" s="81">
        <f>I12+I17+I23</f>
        <v>5234.3999999999996</v>
      </c>
      <c r="J6" s="88">
        <f>I6/H6</f>
        <v>0.87239999999999995</v>
      </c>
      <c r="K6" s="81">
        <f>K12+K17+K23</f>
        <v>5600</v>
      </c>
      <c r="L6" s="81">
        <f>L12+L17+L23</f>
        <v>5572.2</v>
      </c>
      <c r="M6" s="88">
        <f>L6/K6</f>
        <v>0.99503571428571425</v>
      </c>
      <c r="N6" s="81">
        <f>N12+N17+N23</f>
        <v>6000</v>
      </c>
      <c r="O6" s="81">
        <f>O12+O17+O23</f>
        <v>3429.2</v>
      </c>
      <c r="P6" s="88">
        <f>O6/N6</f>
        <v>0.57153333333333334</v>
      </c>
      <c r="Q6" s="117">
        <f>Q12+Q17+Q23</f>
        <v>5600</v>
      </c>
      <c r="R6" s="81">
        <f>R12+R17+R23</f>
        <v>3995</v>
      </c>
      <c r="S6" s="88">
        <f>R6/Q6</f>
        <v>0.71339285714285716</v>
      </c>
      <c r="T6" s="81">
        <f>T12+T17+T23</f>
        <v>6000</v>
      </c>
      <c r="U6" s="81">
        <f>U12+U17+U23</f>
        <v>3897</v>
      </c>
      <c r="V6" s="88">
        <f>U6/T6</f>
        <v>0.64949999999999997</v>
      </c>
      <c r="W6" s="81">
        <f>W12+W17+W23</f>
        <v>34800</v>
      </c>
      <c r="X6" s="81">
        <f>X12+X17+X23</f>
        <v>25815.7</v>
      </c>
      <c r="Y6" s="88">
        <f>X6/W6</f>
        <v>0.74183045977011497</v>
      </c>
      <c r="Z6" s="81">
        <f>Z12+Z17+Z23</f>
        <v>5600</v>
      </c>
      <c r="AA6" s="81">
        <f>AA12+AA17+AA23</f>
        <v>3912.4</v>
      </c>
      <c r="AB6" s="88">
        <f>AA6/Z6</f>
        <v>0.69864285714285712</v>
      </c>
      <c r="AC6" s="81">
        <f>AC12+AC17+AC23</f>
        <v>6000</v>
      </c>
      <c r="AD6" s="81">
        <f>AD12+AD17+AD23</f>
        <v>0</v>
      </c>
      <c r="AE6" s="88">
        <f>AD6/AC6</f>
        <v>0</v>
      </c>
      <c r="AF6" s="81">
        <f>AF12+AF17+AF23</f>
        <v>5600</v>
      </c>
      <c r="AG6" s="81">
        <f>AG12+AG17+AG23</f>
        <v>0</v>
      </c>
      <c r="AH6" s="88">
        <f>AG6/AF6</f>
        <v>0</v>
      </c>
      <c r="AI6" s="81">
        <f>AI12+AI17+AI23</f>
        <v>6000</v>
      </c>
      <c r="AJ6" s="81">
        <f>AJ12+AJ17+AJ23</f>
        <v>0</v>
      </c>
      <c r="AK6" s="88">
        <f>AJ6/AI6</f>
        <v>0</v>
      </c>
      <c r="AL6" s="81">
        <f>AL12+AL17+AL23</f>
        <v>5600</v>
      </c>
      <c r="AM6" s="81">
        <f>AM12+AM17+AM23</f>
        <v>0</v>
      </c>
      <c r="AN6" s="88">
        <f>AM6/AL6</f>
        <v>0</v>
      </c>
      <c r="AO6" s="81">
        <f>AO12+AO17+AO23</f>
        <v>6000</v>
      </c>
      <c r="AP6" s="81">
        <f>AP12+AP17+AP23</f>
        <v>0</v>
      </c>
      <c r="AQ6" s="88">
        <f>AP6/AO6</f>
        <v>0</v>
      </c>
      <c r="AR6" s="81">
        <f>AR12+AR17+AR23</f>
        <v>35200.444444444445</v>
      </c>
      <c r="AS6" s="81">
        <f>AS12+AS17+AS23</f>
        <v>3912.4</v>
      </c>
      <c r="AT6" s="88">
        <f>AS6/AR6</f>
        <v>0.11114632391005164</v>
      </c>
      <c r="AU6" s="81">
        <f>AU12+AU17+AU23</f>
        <v>70000.444444444438</v>
      </c>
      <c r="AV6" s="81">
        <f>AV12+AV17+AV23</f>
        <v>29728.1</v>
      </c>
      <c r="AW6" s="100">
        <f>AV6/AU6</f>
        <v>0.42468444644795905</v>
      </c>
      <c r="AX6" s="65"/>
      <c r="AY6" s="65"/>
      <c r="AZ6" s="65"/>
      <c r="BA6" s="65"/>
    </row>
    <row r="7" spans="1:53" ht="80.25" customHeight="1">
      <c r="B7" s="214" t="s">
        <v>55</v>
      </c>
      <c r="C7" s="215"/>
      <c r="D7" s="216"/>
      <c r="E7" s="78" t="s">
        <v>5</v>
      </c>
      <c r="F7" s="95" t="s">
        <v>4</v>
      </c>
      <c r="G7" s="111" t="s">
        <v>56</v>
      </c>
      <c r="H7" s="74" t="s">
        <v>5</v>
      </c>
      <c r="I7" s="68" t="s">
        <v>4</v>
      </c>
      <c r="J7" s="111" t="s">
        <v>56</v>
      </c>
      <c r="K7" s="68" t="s">
        <v>5</v>
      </c>
      <c r="L7" s="68" t="s">
        <v>4</v>
      </c>
      <c r="M7" s="111" t="s">
        <v>56</v>
      </c>
      <c r="N7" s="68" t="s">
        <v>5</v>
      </c>
      <c r="O7" s="68" t="s">
        <v>4</v>
      </c>
      <c r="P7" s="111" t="s">
        <v>56</v>
      </c>
      <c r="Q7" s="78" t="s">
        <v>5</v>
      </c>
      <c r="R7" s="68" t="s">
        <v>4</v>
      </c>
      <c r="S7" s="111" t="s">
        <v>56</v>
      </c>
      <c r="T7" s="68" t="s">
        <v>5</v>
      </c>
      <c r="U7" s="68" t="s">
        <v>4</v>
      </c>
      <c r="V7" s="111" t="s">
        <v>56</v>
      </c>
      <c r="W7" s="68" t="s">
        <v>5</v>
      </c>
      <c r="X7" s="68" t="s">
        <v>4</v>
      </c>
      <c r="Y7" s="111" t="s">
        <v>56</v>
      </c>
      <c r="Z7" s="68" t="s">
        <v>5</v>
      </c>
      <c r="AA7" s="68" t="s">
        <v>4</v>
      </c>
      <c r="AB7" s="111" t="s">
        <v>56</v>
      </c>
      <c r="AC7" s="68" t="s">
        <v>5</v>
      </c>
      <c r="AD7" s="68" t="s">
        <v>4</v>
      </c>
      <c r="AE7" s="111" t="s">
        <v>56</v>
      </c>
      <c r="AF7" s="68" t="s">
        <v>5</v>
      </c>
      <c r="AG7" s="68" t="s">
        <v>4</v>
      </c>
      <c r="AH7" s="111" t="s">
        <v>56</v>
      </c>
      <c r="AI7" s="68" t="s">
        <v>5</v>
      </c>
      <c r="AJ7" s="68" t="s">
        <v>4</v>
      </c>
      <c r="AK7" s="111" t="s">
        <v>56</v>
      </c>
      <c r="AL7" s="68" t="s">
        <v>5</v>
      </c>
      <c r="AM7" s="68" t="s">
        <v>4</v>
      </c>
      <c r="AN7" s="111" t="s">
        <v>56</v>
      </c>
      <c r="AO7" s="68" t="s">
        <v>5</v>
      </c>
      <c r="AP7" s="68" t="s">
        <v>4</v>
      </c>
      <c r="AQ7" s="111" t="s">
        <v>56</v>
      </c>
      <c r="AR7" s="68" t="s">
        <v>5</v>
      </c>
      <c r="AS7" s="68" t="s">
        <v>4</v>
      </c>
      <c r="AT7" s="111" t="s">
        <v>56</v>
      </c>
      <c r="AU7" s="68" t="s">
        <v>5</v>
      </c>
      <c r="AV7" s="68" t="s">
        <v>4</v>
      </c>
      <c r="AW7" s="111" t="s">
        <v>56</v>
      </c>
      <c r="AX7" s="65"/>
      <c r="AY7" s="65"/>
      <c r="BA7" s="54"/>
    </row>
    <row r="8" spans="1:53" ht="80.25" customHeight="1">
      <c r="B8" s="201" t="s">
        <v>0</v>
      </c>
      <c r="C8" s="202"/>
      <c r="D8" s="203"/>
      <c r="E8" s="76">
        <v>900</v>
      </c>
      <c r="F8" s="89">
        <v>400</v>
      </c>
      <c r="G8" s="96">
        <f>F8/E8</f>
        <v>0.44444444444444442</v>
      </c>
      <c r="H8" s="72">
        <v>900</v>
      </c>
      <c r="I8" s="67">
        <v>0</v>
      </c>
      <c r="J8" s="96">
        <f>I8/H8</f>
        <v>0</v>
      </c>
      <c r="K8" s="67">
        <v>900</v>
      </c>
      <c r="L8" s="67">
        <v>0</v>
      </c>
      <c r="M8" s="96">
        <f>L8/K8</f>
        <v>0</v>
      </c>
      <c r="N8" s="67">
        <v>900</v>
      </c>
      <c r="O8" s="67">
        <v>0</v>
      </c>
      <c r="P8" s="96">
        <f>O8/N8</f>
        <v>0</v>
      </c>
      <c r="Q8" s="76">
        <v>900</v>
      </c>
      <c r="R8" s="67">
        <v>414</v>
      </c>
      <c r="S8" s="96">
        <f>R8/Q8</f>
        <v>0.46</v>
      </c>
      <c r="T8" s="67">
        <v>900</v>
      </c>
      <c r="U8" s="67">
        <v>0</v>
      </c>
      <c r="V8" s="96">
        <f>U8/T8</f>
        <v>0</v>
      </c>
      <c r="W8" s="67">
        <f t="shared" ref="W8:X10" si="0">E8+H8+K8+N8+Q8+T8</f>
        <v>5400</v>
      </c>
      <c r="X8" s="67">
        <f t="shared" si="0"/>
        <v>814</v>
      </c>
      <c r="Y8" s="96">
        <f>X8/W8</f>
        <v>0.15074074074074073</v>
      </c>
      <c r="Z8" s="67">
        <v>900</v>
      </c>
      <c r="AA8" s="67">
        <v>400</v>
      </c>
      <c r="AB8" s="96">
        <f>AA8/Z8</f>
        <v>0.44444444444444442</v>
      </c>
      <c r="AC8" s="67">
        <v>900</v>
      </c>
      <c r="AD8" s="67"/>
      <c r="AE8" s="96">
        <f>AD8/AC8</f>
        <v>0</v>
      </c>
      <c r="AF8" s="67">
        <v>900</v>
      </c>
      <c r="AG8" s="67"/>
      <c r="AH8" s="96">
        <f>AG8/AF8</f>
        <v>0</v>
      </c>
      <c r="AI8" s="67">
        <v>900</v>
      </c>
      <c r="AJ8" s="67"/>
      <c r="AK8" s="96">
        <f>AJ8/AI8</f>
        <v>0</v>
      </c>
      <c r="AL8" s="67">
        <v>900</v>
      </c>
      <c r="AM8" s="67"/>
      <c r="AN8" s="96">
        <f>AM8/AL8</f>
        <v>0</v>
      </c>
      <c r="AO8" s="67">
        <v>900</v>
      </c>
      <c r="AP8" s="67"/>
      <c r="AQ8" s="96">
        <f>AP8/AO8</f>
        <v>0</v>
      </c>
      <c r="AR8" s="67">
        <f>SUM(Z8:AP8)</f>
        <v>5800.4444444444443</v>
      </c>
      <c r="AS8" s="67">
        <f>AA8+AD8+AG8+AJ8+AM8+AP8</f>
        <v>400</v>
      </c>
      <c r="AT8" s="96">
        <f>AS8/AR8</f>
        <v>6.8960232932342352E-2</v>
      </c>
      <c r="AU8" s="67">
        <f t="shared" ref="AU8:AV11" si="1">W8+AR8</f>
        <v>11200.444444444445</v>
      </c>
      <c r="AV8" s="67">
        <f t="shared" si="1"/>
        <v>1214</v>
      </c>
      <c r="AW8" s="101">
        <f>AV8/AU8</f>
        <v>0.10838855600968214</v>
      </c>
      <c r="AX8" s="191"/>
      <c r="BA8" s="54"/>
    </row>
    <row r="9" spans="1:53" ht="80.25" customHeight="1">
      <c r="B9" s="201" t="s">
        <v>3</v>
      </c>
      <c r="C9" s="202"/>
      <c r="D9" s="203"/>
      <c r="E9" s="76">
        <v>200</v>
      </c>
      <c r="F9" s="67">
        <v>0</v>
      </c>
      <c r="G9" s="96">
        <f>F9/E9</f>
        <v>0</v>
      </c>
      <c r="H9" s="72">
        <v>200</v>
      </c>
      <c r="I9" s="67">
        <v>200</v>
      </c>
      <c r="J9" s="96">
        <f>I9/H9</f>
        <v>1</v>
      </c>
      <c r="K9" s="67">
        <v>200</v>
      </c>
      <c r="L9" s="67">
        <v>0</v>
      </c>
      <c r="M9" s="96">
        <f>L9/K9</f>
        <v>0</v>
      </c>
      <c r="N9" s="67">
        <v>200</v>
      </c>
      <c r="O9" s="67">
        <v>0</v>
      </c>
      <c r="P9" s="96">
        <f>O9/N9</f>
        <v>0</v>
      </c>
      <c r="Q9" s="76">
        <v>200</v>
      </c>
      <c r="R9" s="67">
        <v>0</v>
      </c>
      <c r="S9" s="96">
        <f>R9/Q9</f>
        <v>0</v>
      </c>
      <c r="T9" s="67">
        <v>200</v>
      </c>
      <c r="U9" s="67">
        <v>0</v>
      </c>
      <c r="V9" s="96">
        <f>U9/T9</f>
        <v>0</v>
      </c>
      <c r="W9" s="67">
        <f t="shared" si="0"/>
        <v>1200</v>
      </c>
      <c r="X9" s="67">
        <f t="shared" si="0"/>
        <v>200</v>
      </c>
      <c r="Y9" s="96">
        <f>X9/W9</f>
        <v>0.16666666666666666</v>
      </c>
      <c r="Z9" s="67">
        <v>200</v>
      </c>
      <c r="AA9" s="67">
        <v>0</v>
      </c>
      <c r="AB9" s="96">
        <f>AA9/Z9</f>
        <v>0</v>
      </c>
      <c r="AC9" s="67">
        <v>200</v>
      </c>
      <c r="AD9" s="67"/>
      <c r="AE9" s="96">
        <f>AD9/AC9</f>
        <v>0</v>
      </c>
      <c r="AF9" s="67">
        <v>200</v>
      </c>
      <c r="AG9" s="67"/>
      <c r="AH9" s="96">
        <f>AG9/AF9</f>
        <v>0</v>
      </c>
      <c r="AI9" s="67">
        <v>200</v>
      </c>
      <c r="AJ9" s="67"/>
      <c r="AK9" s="96">
        <f>AJ9/AI9</f>
        <v>0</v>
      </c>
      <c r="AL9" s="67">
        <v>200</v>
      </c>
      <c r="AM9" s="67"/>
      <c r="AN9" s="96">
        <f>AM9/AL9</f>
        <v>0</v>
      </c>
      <c r="AO9" s="67">
        <v>200</v>
      </c>
      <c r="AP9" s="67"/>
      <c r="AQ9" s="96">
        <f>AP9/AO9</f>
        <v>0</v>
      </c>
      <c r="AR9" s="67">
        <f>Z9+AC9+AF9+AI9+AL9+AO9</f>
        <v>1200</v>
      </c>
      <c r="AS9" s="67">
        <f>AA9+AD9+AG9+AJ9+AM9+AP9</f>
        <v>0</v>
      </c>
      <c r="AT9" s="96">
        <f>AS9/AR9</f>
        <v>0</v>
      </c>
      <c r="AU9" s="67">
        <f t="shared" si="1"/>
        <v>2400</v>
      </c>
      <c r="AV9" s="67">
        <f t="shared" si="1"/>
        <v>200</v>
      </c>
      <c r="AW9" s="101">
        <f>AV9/AU9</f>
        <v>8.3333333333333329E-2</v>
      </c>
      <c r="AX9" s="191"/>
      <c r="BA9" s="54"/>
    </row>
    <row r="10" spans="1:53" ht="80.25" customHeight="1" outlineLevel="1">
      <c r="B10" s="201" t="s">
        <v>2</v>
      </c>
      <c r="C10" s="202"/>
      <c r="D10" s="203"/>
      <c r="E10" s="76"/>
      <c r="F10" s="67">
        <v>60</v>
      </c>
      <c r="G10" s="96" t="e">
        <f>F10/E10</f>
        <v>#DIV/0!</v>
      </c>
      <c r="H10" s="72"/>
      <c r="I10" s="67">
        <v>0</v>
      </c>
      <c r="J10" s="96" t="e">
        <f>I10/H10</f>
        <v>#DIV/0!</v>
      </c>
      <c r="K10" s="67"/>
      <c r="L10" s="67">
        <v>30</v>
      </c>
      <c r="M10" s="96" t="e">
        <f>L10/K10</f>
        <v>#DIV/0!</v>
      </c>
      <c r="N10" s="67"/>
      <c r="O10" s="67">
        <v>180</v>
      </c>
      <c r="P10" s="96" t="e">
        <f>O10/N10</f>
        <v>#DIV/0!</v>
      </c>
      <c r="Q10" s="76"/>
      <c r="R10" s="67">
        <v>0</v>
      </c>
      <c r="S10" s="96" t="e">
        <f>R10/Q10</f>
        <v>#DIV/0!</v>
      </c>
      <c r="T10" s="67"/>
      <c r="U10" s="67">
        <v>0</v>
      </c>
      <c r="V10" s="96" t="e">
        <f>U10/T10</f>
        <v>#DIV/0!</v>
      </c>
      <c r="W10" s="67">
        <f t="shared" si="0"/>
        <v>0</v>
      </c>
      <c r="X10" s="67">
        <f t="shared" si="0"/>
        <v>270</v>
      </c>
      <c r="Y10" s="96" t="e">
        <f>X10/W10</f>
        <v>#DIV/0!</v>
      </c>
      <c r="Z10" s="67"/>
      <c r="AA10" s="67">
        <v>0</v>
      </c>
      <c r="AB10" s="96" t="e">
        <f>AA10/Z10</f>
        <v>#DIV/0!</v>
      </c>
      <c r="AC10" s="67"/>
      <c r="AD10" s="67"/>
      <c r="AE10" s="96" t="e">
        <f>AD10/AC10</f>
        <v>#DIV/0!</v>
      </c>
      <c r="AF10" s="67"/>
      <c r="AG10" s="67"/>
      <c r="AH10" s="96" t="e">
        <f>AG10/AF10</f>
        <v>#DIV/0!</v>
      </c>
      <c r="AI10" s="67"/>
      <c r="AJ10" s="67"/>
      <c r="AK10" s="96" t="e">
        <f>AJ10/AI10</f>
        <v>#DIV/0!</v>
      </c>
      <c r="AL10" s="67"/>
      <c r="AM10" s="67"/>
      <c r="AN10" s="96" t="e">
        <f>AM10/AL10</f>
        <v>#DIV/0!</v>
      </c>
      <c r="AO10" s="67"/>
      <c r="AP10" s="67"/>
      <c r="AQ10" s="96" t="e">
        <f>AP10/AO10</f>
        <v>#DIV/0!</v>
      </c>
      <c r="AR10" s="67">
        <f>Z10+AC10+AF10+AI10+AL10+AO10</f>
        <v>0</v>
      </c>
      <c r="AS10" s="67">
        <f>AA10+AD10+AG10+AJ10+AM10+AP10</f>
        <v>0</v>
      </c>
      <c r="AT10" s="96" t="e">
        <f>AS10/AR10</f>
        <v>#DIV/0!</v>
      </c>
      <c r="AU10" s="67">
        <f t="shared" si="1"/>
        <v>0</v>
      </c>
      <c r="AV10" s="67">
        <f t="shared" si="1"/>
        <v>270</v>
      </c>
      <c r="AW10" s="101" t="e">
        <f>AV10/AU10</f>
        <v>#DIV/0!</v>
      </c>
      <c r="BA10" s="54"/>
    </row>
    <row r="11" spans="1:53" ht="80.25" customHeight="1" outlineLevel="1">
      <c r="B11" s="201" t="s">
        <v>42</v>
      </c>
      <c r="C11" s="202"/>
      <c r="D11" s="203"/>
      <c r="E11" s="77"/>
      <c r="F11" s="67">
        <v>70</v>
      </c>
      <c r="G11" s="96" t="e">
        <f>F11/E11</f>
        <v>#DIV/0!</v>
      </c>
      <c r="H11" s="73"/>
      <c r="I11" s="71">
        <v>65</v>
      </c>
      <c r="J11" s="96" t="e">
        <f>I11/H11</f>
        <v>#DIV/0!</v>
      </c>
      <c r="K11" s="71"/>
      <c r="L11" s="71">
        <v>65</v>
      </c>
      <c r="M11" s="96" t="e">
        <f>L11/K11</f>
        <v>#DIV/0!</v>
      </c>
      <c r="N11" s="71"/>
      <c r="O11" s="71">
        <v>65</v>
      </c>
      <c r="P11" s="96" t="e">
        <f>O11/N11</f>
        <v>#DIV/0!</v>
      </c>
      <c r="Q11" s="77"/>
      <c r="R11" s="71">
        <v>85</v>
      </c>
      <c r="S11" s="96" t="e">
        <f>R11/Q11</f>
        <v>#DIV/0!</v>
      </c>
      <c r="T11" s="71"/>
      <c r="U11" s="71">
        <v>85</v>
      </c>
      <c r="V11" s="96" t="e">
        <f>U11/T11</f>
        <v>#DIV/0!</v>
      </c>
      <c r="W11" s="71"/>
      <c r="X11" s="71">
        <f>F11+I11+L11+O11+R11+U11</f>
        <v>435</v>
      </c>
      <c r="Y11" s="96" t="e">
        <f>X11/W11</f>
        <v>#DIV/0!</v>
      </c>
      <c r="Z11" s="71"/>
      <c r="AA11" s="71">
        <v>85</v>
      </c>
      <c r="AB11" s="96" t="e">
        <f>AA11/Z11</f>
        <v>#DIV/0!</v>
      </c>
      <c r="AC11" s="71"/>
      <c r="AD11" s="71"/>
      <c r="AE11" s="96" t="e">
        <f>AD11/AC11</f>
        <v>#DIV/0!</v>
      </c>
      <c r="AF11" s="71"/>
      <c r="AG11" s="71"/>
      <c r="AH11" s="96" t="e">
        <f>AG11/AF11</f>
        <v>#DIV/0!</v>
      </c>
      <c r="AI11" s="71"/>
      <c r="AJ11" s="71"/>
      <c r="AK11" s="96" t="e">
        <f>AJ11/AI11</f>
        <v>#DIV/0!</v>
      </c>
      <c r="AL11" s="71"/>
      <c r="AM11" s="71"/>
      <c r="AN11" s="96" t="e">
        <f>AM11/AL11</f>
        <v>#DIV/0!</v>
      </c>
      <c r="AO11" s="71"/>
      <c r="AP11" s="71"/>
      <c r="AQ11" s="96" t="e">
        <f>AP11/AO11</f>
        <v>#DIV/0!</v>
      </c>
      <c r="AR11" s="71"/>
      <c r="AS11" s="71">
        <f>AA11+AD11+AG11+AJ11+AM11+AP11</f>
        <v>85</v>
      </c>
      <c r="AT11" s="96" t="e">
        <f>AS11/AR11</f>
        <v>#DIV/0!</v>
      </c>
      <c r="AU11" s="71">
        <f t="shared" si="1"/>
        <v>0</v>
      </c>
      <c r="AV11" s="71">
        <f t="shared" si="1"/>
        <v>520</v>
      </c>
      <c r="AW11" s="101" t="e">
        <f>AV11/AU11</f>
        <v>#DIV/0!</v>
      </c>
      <c r="BA11" s="54"/>
    </row>
    <row r="12" spans="1:53" ht="80.25" customHeight="1">
      <c r="B12" s="241" t="s">
        <v>15</v>
      </c>
      <c r="C12" s="242"/>
      <c r="D12" s="243"/>
      <c r="E12" s="84">
        <f t="shared" ref="E12:Q12" si="2">E8+E9+E10+E11</f>
        <v>1100</v>
      </c>
      <c r="F12" s="90">
        <f>F8+F9+F10+F11</f>
        <v>530</v>
      </c>
      <c r="G12" s="91">
        <f>F12/E12</f>
        <v>0.48181818181818181</v>
      </c>
      <c r="H12" s="85">
        <f t="shared" si="2"/>
        <v>1100</v>
      </c>
      <c r="I12" s="86">
        <f t="shared" si="2"/>
        <v>265</v>
      </c>
      <c r="J12" s="91">
        <f>I12/H12</f>
        <v>0.24090909090909091</v>
      </c>
      <c r="K12" s="86">
        <f t="shared" si="2"/>
        <v>1100</v>
      </c>
      <c r="L12" s="86">
        <f>L8+L9+L10+L11</f>
        <v>95</v>
      </c>
      <c r="M12" s="91">
        <f>L12/K12</f>
        <v>8.6363636363636365E-2</v>
      </c>
      <c r="N12" s="86">
        <f t="shared" si="2"/>
        <v>1100</v>
      </c>
      <c r="O12" s="86">
        <f t="shared" si="2"/>
        <v>245</v>
      </c>
      <c r="P12" s="91">
        <f>O12/N12</f>
        <v>0.22272727272727272</v>
      </c>
      <c r="Q12" s="84">
        <f t="shared" si="2"/>
        <v>1100</v>
      </c>
      <c r="R12" s="86">
        <f>R8+R9+R10+R11</f>
        <v>499</v>
      </c>
      <c r="S12" s="91">
        <f>R12/Q12</f>
        <v>0.45363636363636362</v>
      </c>
      <c r="T12" s="86">
        <f t="shared" ref="T12" si="3">T8+T9+T10</f>
        <v>1100</v>
      </c>
      <c r="U12" s="86">
        <f>U8+U9+U10+U11</f>
        <v>85</v>
      </c>
      <c r="V12" s="91">
        <f>U12/T12</f>
        <v>7.7272727272727271E-2</v>
      </c>
      <c r="W12" s="86">
        <f t="shared" ref="W12:AV12" si="4">W8+W9+W10+W11</f>
        <v>6600</v>
      </c>
      <c r="X12" s="86">
        <f>X8+X9+X10+X11</f>
        <v>1719</v>
      </c>
      <c r="Y12" s="96">
        <f>X12/W12</f>
        <v>0.26045454545454544</v>
      </c>
      <c r="Z12" s="86">
        <f t="shared" si="4"/>
        <v>1100</v>
      </c>
      <c r="AA12" s="86">
        <f t="shared" si="4"/>
        <v>485</v>
      </c>
      <c r="AB12" s="91">
        <f>AA12/Z12</f>
        <v>0.44090909090909092</v>
      </c>
      <c r="AC12" s="86">
        <f t="shared" si="4"/>
        <v>1100</v>
      </c>
      <c r="AD12" s="86">
        <f t="shared" si="4"/>
        <v>0</v>
      </c>
      <c r="AE12" s="91">
        <f>AD12/AC12</f>
        <v>0</v>
      </c>
      <c r="AF12" s="86">
        <f t="shared" si="4"/>
        <v>1100</v>
      </c>
      <c r="AG12" s="86">
        <f t="shared" si="4"/>
        <v>0</v>
      </c>
      <c r="AH12" s="91">
        <f>AG12/AF12</f>
        <v>0</v>
      </c>
      <c r="AI12" s="86">
        <f t="shared" si="4"/>
        <v>1100</v>
      </c>
      <c r="AJ12" s="86">
        <f t="shared" si="4"/>
        <v>0</v>
      </c>
      <c r="AK12" s="91">
        <f>AJ12/AI12</f>
        <v>0</v>
      </c>
      <c r="AL12" s="86">
        <f t="shared" si="4"/>
        <v>1100</v>
      </c>
      <c r="AM12" s="86">
        <f t="shared" si="4"/>
        <v>0</v>
      </c>
      <c r="AN12" s="91">
        <f>AM12/AL12</f>
        <v>0</v>
      </c>
      <c r="AO12" s="86">
        <f t="shared" si="4"/>
        <v>1100</v>
      </c>
      <c r="AP12" s="86">
        <f t="shared" si="4"/>
        <v>0</v>
      </c>
      <c r="AQ12" s="91">
        <f>AP12/AO12</f>
        <v>0</v>
      </c>
      <c r="AR12" s="86">
        <f t="shared" si="4"/>
        <v>7000.4444444444443</v>
      </c>
      <c r="AS12" s="86">
        <f>AS8+AS9+AS10+AS11</f>
        <v>485</v>
      </c>
      <c r="AT12" s="96">
        <f>AS12/AR12</f>
        <v>6.9281315472033519E-2</v>
      </c>
      <c r="AU12" s="86">
        <f t="shared" si="4"/>
        <v>13600.444444444445</v>
      </c>
      <c r="AV12" s="86">
        <f t="shared" si="4"/>
        <v>2204</v>
      </c>
      <c r="AW12" s="101">
        <f>AV12/AU12</f>
        <v>0.16205352766249467</v>
      </c>
      <c r="AX12" s="191"/>
      <c r="AY12" s="191"/>
      <c r="BA12" s="54"/>
    </row>
    <row r="13" spans="1:53" ht="80.25" customHeight="1" outlineLevel="1">
      <c r="B13" s="244" t="s">
        <v>8</v>
      </c>
      <c r="C13" s="245"/>
      <c r="D13" s="246"/>
      <c r="E13" s="106" t="s">
        <v>5</v>
      </c>
      <c r="F13" s="107" t="s">
        <v>4</v>
      </c>
      <c r="G13" s="108" t="s">
        <v>56</v>
      </c>
      <c r="H13" s="109" t="s">
        <v>5</v>
      </c>
      <c r="I13" s="110" t="s">
        <v>4</v>
      </c>
      <c r="J13" s="108" t="s">
        <v>56</v>
      </c>
      <c r="K13" s="110" t="s">
        <v>5</v>
      </c>
      <c r="L13" s="110" t="s">
        <v>4</v>
      </c>
      <c r="M13" s="108" t="s">
        <v>56</v>
      </c>
      <c r="N13" s="110" t="s">
        <v>5</v>
      </c>
      <c r="O13" s="110" t="s">
        <v>4</v>
      </c>
      <c r="P13" s="108" t="s">
        <v>56</v>
      </c>
      <c r="Q13" s="106" t="s">
        <v>5</v>
      </c>
      <c r="R13" s="110" t="s">
        <v>4</v>
      </c>
      <c r="S13" s="108" t="s">
        <v>56</v>
      </c>
      <c r="T13" s="110" t="s">
        <v>5</v>
      </c>
      <c r="U13" s="110" t="s">
        <v>4</v>
      </c>
      <c r="V13" s="108" t="s">
        <v>56</v>
      </c>
      <c r="W13" s="110" t="s">
        <v>5</v>
      </c>
      <c r="X13" s="110" t="s">
        <v>4</v>
      </c>
      <c r="Y13" s="108" t="s">
        <v>56</v>
      </c>
      <c r="Z13" s="110" t="s">
        <v>5</v>
      </c>
      <c r="AA13" s="110" t="s">
        <v>4</v>
      </c>
      <c r="AB13" s="108" t="s">
        <v>56</v>
      </c>
      <c r="AC13" s="110" t="s">
        <v>5</v>
      </c>
      <c r="AD13" s="110" t="s">
        <v>4</v>
      </c>
      <c r="AE13" s="108" t="s">
        <v>56</v>
      </c>
      <c r="AF13" s="110" t="s">
        <v>5</v>
      </c>
      <c r="AG13" s="110" t="s">
        <v>4</v>
      </c>
      <c r="AH13" s="108" t="s">
        <v>56</v>
      </c>
      <c r="AI13" s="110" t="s">
        <v>5</v>
      </c>
      <c r="AJ13" s="110" t="s">
        <v>4</v>
      </c>
      <c r="AK13" s="108" t="s">
        <v>56</v>
      </c>
      <c r="AL13" s="110" t="s">
        <v>5</v>
      </c>
      <c r="AM13" s="110" t="s">
        <v>4</v>
      </c>
      <c r="AN13" s="108" t="s">
        <v>56</v>
      </c>
      <c r="AO13" s="110" t="s">
        <v>5</v>
      </c>
      <c r="AP13" s="110" t="s">
        <v>4</v>
      </c>
      <c r="AQ13" s="108" t="s">
        <v>56</v>
      </c>
      <c r="AR13" s="110" t="s">
        <v>5</v>
      </c>
      <c r="AS13" s="110" t="s">
        <v>4</v>
      </c>
      <c r="AT13" s="108" t="s">
        <v>56</v>
      </c>
      <c r="AU13" s="110" t="s">
        <v>5</v>
      </c>
      <c r="AV13" s="110" t="s">
        <v>4</v>
      </c>
      <c r="AW13" s="108" t="s">
        <v>56</v>
      </c>
      <c r="BA13" s="54"/>
    </row>
    <row r="14" spans="1:53" ht="80.25" customHeight="1">
      <c r="B14" s="207" t="s">
        <v>7</v>
      </c>
      <c r="C14" s="208"/>
      <c r="D14" s="209"/>
      <c r="E14" s="79">
        <v>0</v>
      </c>
      <c r="F14" s="70">
        <v>87.9</v>
      </c>
      <c r="G14" s="96" t="e">
        <f>F14/E14</f>
        <v>#DIV/0!</v>
      </c>
      <c r="H14" s="75">
        <v>400</v>
      </c>
      <c r="I14" s="70">
        <v>149.4</v>
      </c>
      <c r="J14" s="96">
        <f>I14/H14</f>
        <v>0.3735</v>
      </c>
      <c r="K14" s="70">
        <v>0</v>
      </c>
      <c r="L14" s="70">
        <v>67.2</v>
      </c>
      <c r="M14" s="96" t="e">
        <f>L14/K14</f>
        <v>#DIV/0!</v>
      </c>
      <c r="N14" s="70">
        <v>400</v>
      </c>
      <c r="O14" s="70">
        <v>124.2</v>
      </c>
      <c r="P14" s="96">
        <f>O14/N14</f>
        <v>0.3105</v>
      </c>
      <c r="Q14" s="79">
        <v>0</v>
      </c>
      <c r="R14" s="70">
        <v>186</v>
      </c>
      <c r="S14" s="96" t="e">
        <f>R14/Q14</f>
        <v>#DIV/0!</v>
      </c>
      <c r="T14" s="70">
        <v>400</v>
      </c>
      <c r="U14" s="70">
        <v>82</v>
      </c>
      <c r="V14" s="96">
        <f>U14/T14</f>
        <v>0.20499999999999999</v>
      </c>
      <c r="W14" s="70">
        <f t="shared" ref="W14:X16" si="5">E14+H14+K14+N14+Q14+T14</f>
        <v>1200</v>
      </c>
      <c r="X14" s="70">
        <f t="shared" si="5"/>
        <v>696.7</v>
      </c>
      <c r="Y14" s="96">
        <f>X14/W14</f>
        <v>0.58058333333333334</v>
      </c>
      <c r="Z14" s="70">
        <v>0</v>
      </c>
      <c r="AA14" s="70">
        <v>107.4</v>
      </c>
      <c r="AB14" s="96" t="e">
        <f>AA14/Z14</f>
        <v>#DIV/0!</v>
      </c>
      <c r="AC14" s="70">
        <v>400</v>
      </c>
      <c r="AD14" s="70"/>
      <c r="AE14" s="96">
        <f>AD14/AC14</f>
        <v>0</v>
      </c>
      <c r="AF14" s="70">
        <v>0</v>
      </c>
      <c r="AG14" s="70"/>
      <c r="AH14" s="96" t="e">
        <f>AG14/AF14</f>
        <v>#DIV/0!</v>
      </c>
      <c r="AI14" s="70">
        <v>400</v>
      </c>
      <c r="AJ14" s="70"/>
      <c r="AK14" s="96">
        <f>AJ14/AI14</f>
        <v>0</v>
      </c>
      <c r="AL14" s="70">
        <v>0</v>
      </c>
      <c r="AM14" s="70"/>
      <c r="AN14" s="96" t="e">
        <f>AM14/AL14</f>
        <v>#DIV/0!</v>
      </c>
      <c r="AO14" s="70">
        <v>400</v>
      </c>
      <c r="AP14" s="70"/>
      <c r="AQ14" s="96">
        <f>AP14/AO14</f>
        <v>0</v>
      </c>
      <c r="AR14" s="70">
        <f t="shared" ref="AR14:AS16" si="6">Z14+AC14+AF14+AI14+AL14+AO14</f>
        <v>1200</v>
      </c>
      <c r="AS14" s="70">
        <f t="shared" si="6"/>
        <v>107.4</v>
      </c>
      <c r="AT14" s="96">
        <f>AS14/AR14</f>
        <v>8.950000000000001E-2</v>
      </c>
      <c r="AU14" s="70">
        <f t="shared" ref="AU14:AV16" si="7">W14+AR14</f>
        <v>2400</v>
      </c>
      <c r="AV14" s="70">
        <f t="shared" si="7"/>
        <v>804.1</v>
      </c>
      <c r="AW14" s="101">
        <f>AV14/AU14</f>
        <v>0.33504166666666668</v>
      </c>
      <c r="AX14" s="191"/>
      <c r="BA14" s="54"/>
    </row>
    <row r="15" spans="1:53" ht="80.25" customHeight="1">
      <c r="B15" s="201" t="s">
        <v>1</v>
      </c>
      <c r="C15" s="202"/>
      <c r="D15" s="203"/>
      <c r="E15" s="76">
        <v>0</v>
      </c>
      <c r="F15" s="67"/>
      <c r="G15" s="96" t="e">
        <f>F15/E15</f>
        <v>#DIV/0!</v>
      </c>
      <c r="H15" s="72">
        <v>0</v>
      </c>
      <c r="I15" s="67">
        <v>0</v>
      </c>
      <c r="J15" s="96" t="e">
        <f>I15/H15</f>
        <v>#DIV/0!</v>
      </c>
      <c r="K15" s="67">
        <v>0</v>
      </c>
      <c r="L15" s="67"/>
      <c r="M15" s="96" t="e">
        <f>L15/K15</f>
        <v>#DIV/0!</v>
      </c>
      <c r="N15" s="67">
        <v>0</v>
      </c>
      <c r="O15" s="67"/>
      <c r="P15" s="96" t="e">
        <f>O15/N15</f>
        <v>#DIV/0!</v>
      </c>
      <c r="Q15" s="76">
        <v>0</v>
      </c>
      <c r="R15" s="67">
        <v>0</v>
      </c>
      <c r="S15" s="96" t="e">
        <f>R15/Q15</f>
        <v>#DIV/0!</v>
      </c>
      <c r="T15" s="67">
        <v>0</v>
      </c>
      <c r="U15" s="67">
        <v>0</v>
      </c>
      <c r="V15" s="96" t="e">
        <f>U15/T15</f>
        <v>#DIV/0!</v>
      </c>
      <c r="W15" s="67">
        <f t="shared" si="5"/>
        <v>0</v>
      </c>
      <c r="X15" s="67">
        <f t="shared" si="5"/>
        <v>0</v>
      </c>
      <c r="Y15" s="96" t="e">
        <f>X15/W15</f>
        <v>#DIV/0!</v>
      </c>
      <c r="Z15" s="67">
        <v>0</v>
      </c>
      <c r="AA15" s="67">
        <v>0</v>
      </c>
      <c r="AB15" s="96" t="e">
        <f>AA15/Z15</f>
        <v>#DIV/0!</v>
      </c>
      <c r="AC15" s="67">
        <v>0</v>
      </c>
      <c r="AD15" s="67"/>
      <c r="AE15" s="96" t="e">
        <f>AD15/AC15</f>
        <v>#DIV/0!</v>
      </c>
      <c r="AF15" s="67">
        <v>0</v>
      </c>
      <c r="AG15" s="67"/>
      <c r="AH15" s="96" t="e">
        <f>AG15/AF15</f>
        <v>#DIV/0!</v>
      </c>
      <c r="AI15" s="67">
        <v>0</v>
      </c>
      <c r="AJ15" s="67"/>
      <c r="AK15" s="96" t="e">
        <f>AJ15/AI15</f>
        <v>#DIV/0!</v>
      </c>
      <c r="AL15" s="67">
        <v>0</v>
      </c>
      <c r="AM15" s="67"/>
      <c r="AN15" s="96" t="e">
        <f>AM15/AL15</f>
        <v>#DIV/0!</v>
      </c>
      <c r="AO15" s="67">
        <v>0</v>
      </c>
      <c r="AP15" s="67"/>
      <c r="AQ15" s="96" t="e">
        <f>AP15/AO15</f>
        <v>#DIV/0!</v>
      </c>
      <c r="AR15" s="67">
        <f t="shared" si="6"/>
        <v>0</v>
      </c>
      <c r="AS15" s="67">
        <f t="shared" si="6"/>
        <v>0</v>
      </c>
      <c r="AT15" s="96" t="e">
        <f>AS15/AR15</f>
        <v>#DIV/0!</v>
      </c>
      <c r="AU15" s="67">
        <f t="shared" si="7"/>
        <v>0</v>
      </c>
      <c r="AV15" s="67">
        <f t="shared" si="7"/>
        <v>0</v>
      </c>
      <c r="AW15" s="101" t="e">
        <f>AV15/AU15</f>
        <v>#DIV/0!</v>
      </c>
      <c r="AX15" s="191"/>
      <c r="BA15" s="54"/>
    </row>
    <row r="16" spans="1:53" ht="80.25" customHeight="1">
      <c r="B16" s="201" t="s">
        <v>16</v>
      </c>
      <c r="C16" s="202"/>
      <c r="D16" s="203"/>
      <c r="E16" s="76">
        <v>0</v>
      </c>
      <c r="F16" s="67"/>
      <c r="G16" s="96" t="e">
        <f>F16/E16</f>
        <v>#DIV/0!</v>
      </c>
      <c r="H16" s="72">
        <v>0</v>
      </c>
      <c r="I16" s="67">
        <v>0</v>
      </c>
      <c r="J16" s="96" t="e">
        <f>I16/H16</f>
        <v>#DIV/0!</v>
      </c>
      <c r="K16" s="67">
        <v>0</v>
      </c>
      <c r="L16" s="67"/>
      <c r="M16" s="96" t="e">
        <f>L16/K16</f>
        <v>#DIV/0!</v>
      </c>
      <c r="N16" s="67">
        <v>0</v>
      </c>
      <c r="O16" s="67"/>
      <c r="P16" s="96" t="e">
        <f>O16/N16</f>
        <v>#DIV/0!</v>
      </c>
      <c r="Q16" s="76">
        <v>0</v>
      </c>
      <c r="R16" s="67">
        <v>0</v>
      </c>
      <c r="S16" s="96" t="e">
        <f>R16/Q16</f>
        <v>#DIV/0!</v>
      </c>
      <c r="T16" s="67">
        <v>0</v>
      </c>
      <c r="U16" s="67">
        <v>0</v>
      </c>
      <c r="V16" s="96" t="e">
        <f>U16/T16</f>
        <v>#DIV/0!</v>
      </c>
      <c r="W16" s="67">
        <f t="shared" si="5"/>
        <v>0</v>
      </c>
      <c r="X16" s="67">
        <f t="shared" si="5"/>
        <v>0</v>
      </c>
      <c r="Y16" s="96" t="e">
        <f>X16/W16</f>
        <v>#DIV/0!</v>
      </c>
      <c r="Z16" s="67">
        <v>0</v>
      </c>
      <c r="AA16" s="67">
        <v>0</v>
      </c>
      <c r="AB16" s="96" t="e">
        <f>AA16/Z16</f>
        <v>#DIV/0!</v>
      </c>
      <c r="AC16" s="67">
        <v>0</v>
      </c>
      <c r="AD16" s="67"/>
      <c r="AE16" s="96" t="e">
        <f>AD16/AC16</f>
        <v>#DIV/0!</v>
      </c>
      <c r="AF16" s="67">
        <v>0</v>
      </c>
      <c r="AG16" s="67"/>
      <c r="AH16" s="96" t="e">
        <f>AG16/AF16</f>
        <v>#DIV/0!</v>
      </c>
      <c r="AI16" s="67">
        <v>0</v>
      </c>
      <c r="AJ16" s="67"/>
      <c r="AK16" s="96" t="e">
        <f>AJ16/AI16</f>
        <v>#DIV/0!</v>
      </c>
      <c r="AL16" s="67">
        <v>0</v>
      </c>
      <c r="AM16" s="67"/>
      <c r="AN16" s="96" t="e">
        <f>AM16/AL16</f>
        <v>#DIV/0!</v>
      </c>
      <c r="AO16" s="67">
        <v>0</v>
      </c>
      <c r="AP16" s="67"/>
      <c r="AQ16" s="96" t="e">
        <f>AP16/AO16</f>
        <v>#DIV/0!</v>
      </c>
      <c r="AR16" s="67">
        <f t="shared" si="6"/>
        <v>0</v>
      </c>
      <c r="AS16" s="67">
        <f t="shared" si="6"/>
        <v>0</v>
      </c>
      <c r="AT16" s="96" t="e">
        <f>AS16/AR16</f>
        <v>#DIV/0!</v>
      </c>
      <c r="AU16" s="67">
        <f t="shared" si="7"/>
        <v>0</v>
      </c>
      <c r="AV16" s="67">
        <f t="shared" si="7"/>
        <v>0</v>
      </c>
      <c r="AW16" s="101" t="e">
        <f>AV16/AU16</f>
        <v>#DIV/0!</v>
      </c>
      <c r="AX16" s="191"/>
      <c r="BA16" s="54"/>
    </row>
    <row r="17" spans="1:59" ht="80.25" customHeight="1">
      <c r="B17" s="250" t="s">
        <v>15</v>
      </c>
      <c r="C17" s="251"/>
      <c r="D17" s="252"/>
      <c r="E17" s="84">
        <f t="shared" ref="E17:AV17" si="8">SUM(E14:E16)</f>
        <v>0</v>
      </c>
      <c r="F17" s="86">
        <f t="shared" si="8"/>
        <v>87.9</v>
      </c>
      <c r="G17" s="96" t="e">
        <f>F17/E17</f>
        <v>#DIV/0!</v>
      </c>
      <c r="H17" s="85">
        <f t="shared" si="8"/>
        <v>400</v>
      </c>
      <c r="I17" s="86">
        <f t="shared" si="8"/>
        <v>149.4</v>
      </c>
      <c r="J17" s="96">
        <f>I17/H17</f>
        <v>0.3735</v>
      </c>
      <c r="K17" s="86">
        <f t="shared" si="8"/>
        <v>0</v>
      </c>
      <c r="L17" s="86">
        <f t="shared" si="8"/>
        <v>67.2</v>
      </c>
      <c r="M17" s="96" t="e">
        <f>L17/K17</f>
        <v>#DIV/0!</v>
      </c>
      <c r="N17" s="86">
        <f t="shared" si="8"/>
        <v>400</v>
      </c>
      <c r="O17" s="86">
        <f t="shared" si="8"/>
        <v>124.2</v>
      </c>
      <c r="P17" s="96">
        <f>O17/N17</f>
        <v>0.3105</v>
      </c>
      <c r="Q17" s="84">
        <f t="shared" si="8"/>
        <v>0</v>
      </c>
      <c r="R17" s="86">
        <f t="shared" si="8"/>
        <v>186</v>
      </c>
      <c r="S17" s="96" t="e">
        <f>R17/Q17</f>
        <v>#DIV/0!</v>
      </c>
      <c r="T17" s="86">
        <f t="shared" si="8"/>
        <v>400</v>
      </c>
      <c r="U17" s="86">
        <f t="shared" si="8"/>
        <v>82</v>
      </c>
      <c r="V17" s="96">
        <f>U17/T17</f>
        <v>0.20499999999999999</v>
      </c>
      <c r="W17" s="86">
        <f t="shared" si="8"/>
        <v>1200</v>
      </c>
      <c r="X17" s="86">
        <f t="shared" si="8"/>
        <v>696.7</v>
      </c>
      <c r="Y17" s="96">
        <f>X17/W17</f>
        <v>0.58058333333333334</v>
      </c>
      <c r="Z17" s="86">
        <f t="shared" si="8"/>
        <v>0</v>
      </c>
      <c r="AA17" s="86">
        <f t="shared" si="8"/>
        <v>107.4</v>
      </c>
      <c r="AB17" s="96" t="e">
        <f>AA17/Z17</f>
        <v>#DIV/0!</v>
      </c>
      <c r="AC17" s="86">
        <f t="shared" si="8"/>
        <v>400</v>
      </c>
      <c r="AD17" s="86">
        <f t="shared" si="8"/>
        <v>0</v>
      </c>
      <c r="AE17" s="96">
        <f>AD17/AC17</f>
        <v>0</v>
      </c>
      <c r="AF17" s="86">
        <f t="shared" si="8"/>
        <v>0</v>
      </c>
      <c r="AG17" s="86">
        <f t="shared" si="8"/>
        <v>0</v>
      </c>
      <c r="AH17" s="96" t="e">
        <f>AG17/AF17</f>
        <v>#DIV/0!</v>
      </c>
      <c r="AI17" s="86">
        <f t="shared" si="8"/>
        <v>400</v>
      </c>
      <c r="AJ17" s="86">
        <f t="shared" si="8"/>
        <v>0</v>
      </c>
      <c r="AK17" s="96">
        <f>AJ17/AI17</f>
        <v>0</v>
      </c>
      <c r="AL17" s="86">
        <f t="shared" si="8"/>
        <v>0</v>
      </c>
      <c r="AM17" s="86">
        <f t="shared" si="8"/>
        <v>0</v>
      </c>
      <c r="AN17" s="96" t="e">
        <f>AM17/AL17</f>
        <v>#DIV/0!</v>
      </c>
      <c r="AO17" s="86">
        <f t="shared" si="8"/>
        <v>400</v>
      </c>
      <c r="AP17" s="86">
        <f t="shared" si="8"/>
        <v>0</v>
      </c>
      <c r="AQ17" s="96">
        <f>AP17/AO17</f>
        <v>0</v>
      </c>
      <c r="AR17" s="86">
        <f t="shared" si="8"/>
        <v>1200</v>
      </c>
      <c r="AS17" s="86">
        <f t="shared" si="8"/>
        <v>107.4</v>
      </c>
      <c r="AT17" s="96">
        <f>AS17/AR17</f>
        <v>8.950000000000001E-2</v>
      </c>
      <c r="AU17" s="86">
        <f t="shared" si="8"/>
        <v>2400</v>
      </c>
      <c r="AV17" s="86">
        <f t="shared" si="8"/>
        <v>804.1</v>
      </c>
      <c r="AW17" s="101">
        <f>AV17/AU17</f>
        <v>0.33504166666666668</v>
      </c>
      <c r="AX17" s="65"/>
      <c r="AY17" s="65"/>
      <c r="BA17" s="54"/>
    </row>
    <row r="18" spans="1:59" ht="80.25" customHeight="1">
      <c r="B18" s="224" t="s">
        <v>17</v>
      </c>
      <c r="C18" s="225"/>
      <c r="D18" s="226"/>
      <c r="E18" s="112" t="s">
        <v>5</v>
      </c>
      <c r="F18" s="113" t="s">
        <v>4</v>
      </c>
      <c r="G18" s="114" t="s">
        <v>56</v>
      </c>
      <c r="H18" s="115" t="s">
        <v>5</v>
      </c>
      <c r="I18" s="116" t="s">
        <v>4</v>
      </c>
      <c r="J18" s="114" t="s">
        <v>56</v>
      </c>
      <c r="K18" s="116" t="s">
        <v>5</v>
      </c>
      <c r="L18" s="116" t="s">
        <v>4</v>
      </c>
      <c r="M18" s="114" t="s">
        <v>56</v>
      </c>
      <c r="N18" s="116" t="s">
        <v>5</v>
      </c>
      <c r="O18" s="116" t="s">
        <v>4</v>
      </c>
      <c r="P18" s="114" t="s">
        <v>56</v>
      </c>
      <c r="Q18" s="112" t="s">
        <v>5</v>
      </c>
      <c r="R18" s="116" t="s">
        <v>4</v>
      </c>
      <c r="S18" s="114" t="s">
        <v>56</v>
      </c>
      <c r="T18" s="116" t="s">
        <v>5</v>
      </c>
      <c r="U18" s="116" t="s">
        <v>4</v>
      </c>
      <c r="V18" s="114" t="s">
        <v>56</v>
      </c>
      <c r="W18" s="116" t="s">
        <v>5</v>
      </c>
      <c r="X18" s="116" t="s">
        <v>4</v>
      </c>
      <c r="Y18" s="114" t="s">
        <v>56</v>
      </c>
      <c r="Z18" s="116" t="s">
        <v>5</v>
      </c>
      <c r="AA18" s="116" t="s">
        <v>4</v>
      </c>
      <c r="AB18" s="114" t="s">
        <v>56</v>
      </c>
      <c r="AC18" s="116" t="s">
        <v>5</v>
      </c>
      <c r="AD18" s="116" t="s">
        <v>4</v>
      </c>
      <c r="AE18" s="114" t="s">
        <v>56</v>
      </c>
      <c r="AF18" s="116" t="s">
        <v>5</v>
      </c>
      <c r="AG18" s="116" t="s">
        <v>4</v>
      </c>
      <c r="AH18" s="114" t="s">
        <v>56</v>
      </c>
      <c r="AI18" s="116" t="s">
        <v>5</v>
      </c>
      <c r="AJ18" s="116" t="s">
        <v>4</v>
      </c>
      <c r="AK18" s="114" t="s">
        <v>56</v>
      </c>
      <c r="AL18" s="116" t="s">
        <v>5</v>
      </c>
      <c r="AM18" s="116" t="s">
        <v>4</v>
      </c>
      <c r="AN18" s="114" t="s">
        <v>56</v>
      </c>
      <c r="AO18" s="116" t="s">
        <v>5</v>
      </c>
      <c r="AP18" s="116" t="s">
        <v>4</v>
      </c>
      <c r="AQ18" s="114" t="s">
        <v>56</v>
      </c>
      <c r="AR18" s="116" t="s">
        <v>5</v>
      </c>
      <c r="AS18" s="116" t="s">
        <v>4</v>
      </c>
      <c r="AT18" s="114" t="s">
        <v>56</v>
      </c>
      <c r="AU18" s="116" t="s">
        <v>5</v>
      </c>
      <c r="AV18" s="116" t="s">
        <v>4</v>
      </c>
      <c r="AW18" s="114" t="s">
        <v>56</v>
      </c>
      <c r="AX18" s="65"/>
      <c r="AY18" s="65"/>
      <c r="BA18" s="54"/>
    </row>
    <row r="19" spans="1:59" ht="80.25" customHeight="1">
      <c r="B19" s="227" t="s">
        <v>40</v>
      </c>
      <c r="C19" s="228"/>
      <c r="D19" s="229"/>
      <c r="E19" s="76"/>
      <c r="F19" s="67"/>
      <c r="G19" s="96" t="e">
        <f>F19/E19</f>
        <v>#DIV/0!</v>
      </c>
      <c r="H19" s="72"/>
      <c r="I19" s="67">
        <v>400</v>
      </c>
      <c r="J19" s="96" t="e">
        <f>I19/H19</f>
        <v>#DIV/0!</v>
      </c>
      <c r="K19" s="67"/>
      <c r="L19" s="67">
        <v>800</v>
      </c>
      <c r="M19" s="96" t="e">
        <f>L19/K19</f>
        <v>#DIV/0!</v>
      </c>
      <c r="N19" s="67"/>
      <c r="O19" s="67"/>
      <c r="P19" s="96" t="e">
        <f>O19/N19</f>
        <v>#DIV/0!</v>
      </c>
      <c r="Q19" s="76"/>
      <c r="R19" s="67">
        <v>0</v>
      </c>
      <c r="S19" s="96" t="e">
        <f>R19/Q19</f>
        <v>#DIV/0!</v>
      </c>
      <c r="T19" s="67"/>
      <c r="U19" s="67">
        <v>0</v>
      </c>
      <c r="V19" s="96" t="e">
        <f>U19/T19</f>
        <v>#DIV/0!</v>
      </c>
      <c r="W19" s="67">
        <f t="shared" ref="W19:X22" si="9">E19+H19+K19+N19+Q19+T19</f>
        <v>0</v>
      </c>
      <c r="X19" s="67">
        <f t="shared" si="9"/>
        <v>1200</v>
      </c>
      <c r="Y19" s="96" t="e">
        <f>X19/W19</f>
        <v>#DIV/0!</v>
      </c>
      <c r="Z19" s="67"/>
      <c r="AA19" s="67">
        <v>0</v>
      </c>
      <c r="AB19" s="96" t="e">
        <f>AA19/Z19</f>
        <v>#DIV/0!</v>
      </c>
      <c r="AC19" s="67"/>
      <c r="AD19" s="67"/>
      <c r="AE19" s="96" t="e">
        <f>AD19/AC19</f>
        <v>#DIV/0!</v>
      </c>
      <c r="AF19" s="67"/>
      <c r="AG19" s="67"/>
      <c r="AH19" s="96" t="e">
        <f>AG19/AF19</f>
        <v>#DIV/0!</v>
      </c>
      <c r="AI19" s="67"/>
      <c r="AJ19" s="67"/>
      <c r="AK19" s="96" t="e">
        <f>AJ19/AI19</f>
        <v>#DIV/0!</v>
      </c>
      <c r="AL19" s="67"/>
      <c r="AM19" s="67"/>
      <c r="AN19" s="96" t="e">
        <f>AM19/AL19</f>
        <v>#DIV/0!</v>
      </c>
      <c r="AO19" s="67"/>
      <c r="AP19" s="67"/>
      <c r="AQ19" s="96" t="e">
        <f>AP19/AO19</f>
        <v>#DIV/0!</v>
      </c>
      <c r="AR19" s="67">
        <f t="shared" ref="AR19:AS22" si="10">Z19+AC19+AF19+AI19+AL19+AO19</f>
        <v>0</v>
      </c>
      <c r="AS19" s="67">
        <f t="shared" si="10"/>
        <v>0</v>
      </c>
      <c r="AT19" s="96" t="e">
        <f>AS19/AR19</f>
        <v>#DIV/0!</v>
      </c>
      <c r="AU19" s="67">
        <f t="shared" ref="AU19:AV22" si="11">W19+AR19</f>
        <v>0</v>
      </c>
      <c r="AV19" s="67">
        <f t="shared" si="11"/>
        <v>1200</v>
      </c>
      <c r="AW19" s="101" t="e">
        <f>AV19/AU19</f>
        <v>#DIV/0!</v>
      </c>
      <c r="AX19" s="65"/>
      <c r="AY19" s="65"/>
      <c r="BA19" s="54"/>
    </row>
    <row r="20" spans="1:59" ht="80.25" customHeight="1">
      <c r="B20" s="207" t="s">
        <v>41</v>
      </c>
      <c r="C20" s="208"/>
      <c r="D20" s="209"/>
      <c r="E20" s="79">
        <v>3000</v>
      </c>
      <c r="F20" s="67">
        <v>800</v>
      </c>
      <c r="G20" s="96">
        <f>F20/E20</f>
        <v>0.26666666666666666</v>
      </c>
      <c r="H20" s="75">
        <v>3000</v>
      </c>
      <c r="I20" s="67">
        <v>2400</v>
      </c>
      <c r="J20" s="96">
        <f>I20/H20</f>
        <v>0.8</v>
      </c>
      <c r="K20" s="70">
        <v>3000</v>
      </c>
      <c r="L20" s="67">
        <v>2400</v>
      </c>
      <c r="M20" s="96">
        <f>L20/K20</f>
        <v>0.8</v>
      </c>
      <c r="N20" s="70">
        <v>3000</v>
      </c>
      <c r="O20" s="67">
        <v>1000</v>
      </c>
      <c r="P20" s="96">
        <f>O20/N20</f>
        <v>0.33333333333333331</v>
      </c>
      <c r="Q20" s="79">
        <v>3000</v>
      </c>
      <c r="R20" s="67">
        <v>600</v>
      </c>
      <c r="S20" s="96">
        <f>R20/Q20</f>
        <v>0.2</v>
      </c>
      <c r="T20" s="70">
        <v>3000</v>
      </c>
      <c r="U20" s="67">
        <v>1200</v>
      </c>
      <c r="V20" s="96">
        <f>U20/T20</f>
        <v>0.4</v>
      </c>
      <c r="W20" s="67">
        <f t="shared" si="9"/>
        <v>18000</v>
      </c>
      <c r="X20" s="67">
        <f t="shared" si="9"/>
        <v>8400</v>
      </c>
      <c r="Y20" s="96">
        <f>X20/W20</f>
        <v>0.46666666666666667</v>
      </c>
      <c r="Z20" s="70">
        <v>3000</v>
      </c>
      <c r="AA20" s="67">
        <v>1000</v>
      </c>
      <c r="AB20" s="96">
        <f>AA20/Z20</f>
        <v>0.33333333333333331</v>
      </c>
      <c r="AC20" s="70">
        <v>3000</v>
      </c>
      <c r="AD20" s="67"/>
      <c r="AE20" s="96">
        <f>AD20/AC20</f>
        <v>0</v>
      </c>
      <c r="AF20" s="70">
        <v>3000</v>
      </c>
      <c r="AG20" s="67"/>
      <c r="AH20" s="96">
        <f>AG20/AF20</f>
        <v>0</v>
      </c>
      <c r="AI20" s="70">
        <v>3000</v>
      </c>
      <c r="AJ20" s="67"/>
      <c r="AK20" s="96">
        <f>AJ20/AI20</f>
        <v>0</v>
      </c>
      <c r="AL20" s="70">
        <v>3000</v>
      </c>
      <c r="AM20" s="67"/>
      <c r="AN20" s="96">
        <f>AM20/AL20</f>
        <v>0</v>
      </c>
      <c r="AO20" s="70">
        <v>3000</v>
      </c>
      <c r="AP20" s="67"/>
      <c r="AQ20" s="96">
        <f>AP20/AO20</f>
        <v>0</v>
      </c>
      <c r="AR20" s="67">
        <f t="shared" si="10"/>
        <v>18000</v>
      </c>
      <c r="AS20" s="67">
        <f t="shared" si="10"/>
        <v>1000</v>
      </c>
      <c r="AT20" s="96">
        <f>AS20/AR20</f>
        <v>5.5555555555555552E-2</v>
      </c>
      <c r="AU20" s="67">
        <f t="shared" si="11"/>
        <v>36000</v>
      </c>
      <c r="AV20" s="67">
        <f t="shared" si="11"/>
        <v>9400</v>
      </c>
      <c r="AW20" s="101">
        <f>AV20/AU20</f>
        <v>0.26111111111111113</v>
      </c>
      <c r="AX20" s="65"/>
      <c r="AY20" s="65"/>
      <c r="BA20" s="54"/>
    </row>
    <row r="21" spans="1:59" ht="80.25" customHeight="1">
      <c r="B21" s="201" t="s">
        <v>38</v>
      </c>
      <c r="C21" s="202"/>
      <c r="D21" s="203"/>
      <c r="E21" s="76"/>
      <c r="F21" s="67">
        <v>720</v>
      </c>
      <c r="G21" s="96" t="e">
        <f>F21/E21</f>
        <v>#DIV/0!</v>
      </c>
      <c r="H21" s="72"/>
      <c r="I21" s="67">
        <v>390</v>
      </c>
      <c r="J21" s="96" t="e">
        <f>I21/H21</f>
        <v>#DIV/0!</v>
      </c>
      <c r="K21" s="67"/>
      <c r="L21" s="67">
        <v>450</v>
      </c>
      <c r="M21" s="96" t="e">
        <f>L21/K21</f>
        <v>#DIV/0!</v>
      </c>
      <c r="N21" s="67"/>
      <c r="O21" s="67">
        <v>210</v>
      </c>
      <c r="P21" s="96" t="e">
        <f>O21/N21</f>
        <v>#DIV/0!</v>
      </c>
      <c r="Q21" s="76"/>
      <c r="R21" s="67">
        <v>840</v>
      </c>
      <c r="S21" s="96" t="e">
        <f>R21/Q21</f>
        <v>#DIV/0!</v>
      </c>
      <c r="T21" s="67"/>
      <c r="U21" s="67">
        <v>630</v>
      </c>
      <c r="V21" s="96" t="e">
        <f>U21/T21</f>
        <v>#DIV/0!</v>
      </c>
      <c r="W21" s="67">
        <f t="shared" si="9"/>
        <v>0</v>
      </c>
      <c r="X21" s="67">
        <f t="shared" si="9"/>
        <v>3240</v>
      </c>
      <c r="Y21" s="96" t="e">
        <f>X21/W21</f>
        <v>#DIV/0!</v>
      </c>
      <c r="Z21" s="67"/>
      <c r="AA21" s="67">
        <v>390</v>
      </c>
      <c r="AB21" s="96" t="e">
        <f>AA21/Z21</f>
        <v>#DIV/0!</v>
      </c>
      <c r="AC21" s="67"/>
      <c r="AD21" s="67"/>
      <c r="AE21" s="96" t="e">
        <f>AD21/AC21</f>
        <v>#DIV/0!</v>
      </c>
      <c r="AF21" s="67"/>
      <c r="AG21" s="67"/>
      <c r="AH21" s="96" t="e">
        <f>AG21/AF21</f>
        <v>#DIV/0!</v>
      </c>
      <c r="AI21" s="67"/>
      <c r="AJ21" s="67"/>
      <c r="AK21" s="96" t="e">
        <f>AJ21/AI21</f>
        <v>#DIV/0!</v>
      </c>
      <c r="AL21" s="67"/>
      <c r="AM21" s="67"/>
      <c r="AN21" s="96" t="e">
        <f>AM21/AL21</f>
        <v>#DIV/0!</v>
      </c>
      <c r="AO21" s="67"/>
      <c r="AP21" s="67"/>
      <c r="AQ21" s="96" t="e">
        <f>AP21/AO21</f>
        <v>#DIV/0!</v>
      </c>
      <c r="AR21" s="67">
        <f t="shared" si="10"/>
        <v>0</v>
      </c>
      <c r="AS21" s="67">
        <f t="shared" si="10"/>
        <v>390</v>
      </c>
      <c r="AT21" s="96" t="e">
        <f>AS21/AR21</f>
        <v>#DIV/0!</v>
      </c>
      <c r="AU21" s="67">
        <f t="shared" si="11"/>
        <v>0</v>
      </c>
      <c r="AV21" s="67">
        <f t="shared" si="11"/>
        <v>3630</v>
      </c>
      <c r="AW21" s="101" t="e">
        <f>AV21/AU21</f>
        <v>#DIV/0!</v>
      </c>
      <c r="AX21" s="65"/>
      <c r="AY21" s="65"/>
      <c r="BA21" s="54"/>
    </row>
    <row r="22" spans="1:59" ht="80.25" customHeight="1">
      <c r="B22" s="230" t="s">
        <v>37</v>
      </c>
      <c r="C22" s="231"/>
      <c r="D22" s="232"/>
      <c r="E22" s="76">
        <v>1500</v>
      </c>
      <c r="F22" s="67">
        <v>1550</v>
      </c>
      <c r="G22" s="96">
        <f>F22/E22</f>
        <v>1.0333333333333334</v>
      </c>
      <c r="H22" s="72">
        <v>1500</v>
      </c>
      <c r="I22" s="67">
        <v>1630</v>
      </c>
      <c r="J22" s="96">
        <f>I22/H22</f>
        <v>1.0866666666666667</v>
      </c>
      <c r="K22" s="67">
        <v>1500</v>
      </c>
      <c r="L22" s="67">
        <v>1760</v>
      </c>
      <c r="M22" s="96">
        <f>L22/K22</f>
        <v>1.1733333333333333</v>
      </c>
      <c r="N22" s="67">
        <v>1500</v>
      </c>
      <c r="O22" s="67">
        <v>1850</v>
      </c>
      <c r="P22" s="96">
        <f>O22/N22</f>
        <v>1.2333333333333334</v>
      </c>
      <c r="Q22" s="76">
        <v>1500</v>
      </c>
      <c r="R22" s="67">
        <v>1870</v>
      </c>
      <c r="S22" s="96">
        <f>R22/Q22</f>
        <v>1.2466666666666666</v>
      </c>
      <c r="T22" s="67">
        <v>1500</v>
      </c>
      <c r="U22" s="67">
        <v>1900</v>
      </c>
      <c r="V22" s="96">
        <f>U22/T22</f>
        <v>1.2666666666666666</v>
      </c>
      <c r="W22" s="67">
        <f t="shared" si="9"/>
        <v>9000</v>
      </c>
      <c r="X22" s="67">
        <f t="shared" si="9"/>
        <v>10560</v>
      </c>
      <c r="Y22" s="96">
        <f>X22/W22</f>
        <v>1.1733333333333333</v>
      </c>
      <c r="Z22" s="67">
        <v>1500</v>
      </c>
      <c r="AA22" s="67">
        <v>1930</v>
      </c>
      <c r="AB22" s="96">
        <f>AA22/Z22</f>
        <v>1.2866666666666666</v>
      </c>
      <c r="AC22" s="67">
        <v>1500</v>
      </c>
      <c r="AD22" s="67"/>
      <c r="AE22" s="96">
        <f>AD22/AC22</f>
        <v>0</v>
      </c>
      <c r="AF22" s="67">
        <v>1500</v>
      </c>
      <c r="AG22" s="67"/>
      <c r="AH22" s="96">
        <f>AG22/AF22</f>
        <v>0</v>
      </c>
      <c r="AI22" s="67">
        <v>1500</v>
      </c>
      <c r="AJ22" s="67"/>
      <c r="AK22" s="96">
        <f>AJ22/AI22</f>
        <v>0</v>
      </c>
      <c r="AL22" s="67">
        <v>1500</v>
      </c>
      <c r="AM22" s="67"/>
      <c r="AN22" s="96">
        <f>AM22/AL22</f>
        <v>0</v>
      </c>
      <c r="AO22" s="67">
        <v>1500</v>
      </c>
      <c r="AP22" s="67"/>
      <c r="AQ22" s="96">
        <f>AP22/AO22</f>
        <v>0</v>
      </c>
      <c r="AR22" s="67">
        <f t="shared" si="10"/>
        <v>9000</v>
      </c>
      <c r="AS22" s="67">
        <f t="shared" si="10"/>
        <v>1930</v>
      </c>
      <c r="AT22" s="96">
        <f>AS22/AR22</f>
        <v>0.21444444444444444</v>
      </c>
      <c r="AU22" s="67">
        <f t="shared" si="11"/>
        <v>18000</v>
      </c>
      <c r="AV22" s="67">
        <f t="shared" si="11"/>
        <v>12490</v>
      </c>
      <c r="AW22" s="101">
        <f>AV22/AU22</f>
        <v>0.69388888888888889</v>
      </c>
      <c r="AX22" s="65"/>
      <c r="AY22" s="65"/>
      <c r="BA22" s="54"/>
    </row>
    <row r="23" spans="1:59" ht="104" customHeight="1" thickBot="1">
      <c r="B23" s="247" t="s">
        <v>15</v>
      </c>
      <c r="C23" s="248"/>
      <c r="D23" s="249"/>
      <c r="E23" s="102">
        <f>SUM(E19:E22)</f>
        <v>4500</v>
      </c>
      <c r="F23" s="94">
        <f t="shared" ref="F23:AV23" si="12">SUM(F19:F22)</f>
        <v>3070</v>
      </c>
      <c r="G23" s="91">
        <f>F23/E23</f>
        <v>0.68222222222222217</v>
      </c>
      <c r="H23" s="85">
        <f t="shared" si="12"/>
        <v>4500</v>
      </c>
      <c r="I23" s="86">
        <f t="shared" si="12"/>
        <v>4820</v>
      </c>
      <c r="J23" s="91">
        <f>I23/H23</f>
        <v>1.0711111111111111</v>
      </c>
      <c r="K23" s="86">
        <f t="shared" si="12"/>
        <v>4500</v>
      </c>
      <c r="L23" s="86">
        <f t="shared" si="12"/>
        <v>5410</v>
      </c>
      <c r="M23" s="91">
        <f>L23/K23</f>
        <v>1.2022222222222223</v>
      </c>
      <c r="N23" s="86">
        <f t="shared" si="12"/>
        <v>4500</v>
      </c>
      <c r="O23" s="90">
        <f t="shared" si="12"/>
        <v>3060</v>
      </c>
      <c r="P23" s="91">
        <f>O23/N23</f>
        <v>0.68</v>
      </c>
      <c r="Q23" s="118">
        <f t="shared" si="12"/>
        <v>4500</v>
      </c>
      <c r="R23" s="119">
        <f t="shared" si="12"/>
        <v>3310</v>
      </c>
      <c r="S23" s="120">
        <f>R23/Q23</f>
        <v>0.73555555555555552</v>
      </c>
      <c r="T23" s="103">
        <f t="shared" si="12"/>
        <v>4500</v>
      </c>
      <c r="U23" s="86">
        <f t="shared" si="12"/>
        <v>3730</v>
      </c>
      <c r="V23" s="91">
        <f>U23/T23</f>
        <v>0.8288888888888889</v>
      </c>
      <c r="W23" s="85">
        <f t="shared" si="12"/>
        <v>27000</v>
      </c>
      <c r="X23" s="86">
        <f t="shared" si="12"/>
        <v>23400</v>
      </c>
      <c r="Y23" s="104">
        <f>X23/W23</f>
        <v>0.8666666666666667</v>
      </c>
      <c r="Z23" s="86">
        <f t="shared" si="12"/>
        <v>4500</v>
      </c>
      <c r="AA23" s="86">
        <f t="shared" si="12"/>
        <v>3320</v>
      </c>
      <c r="AB23" s="91">
        <f>AA23/Z23</f>
        <v>0.73777777777777775</v>
      </c>
      <c r="AC23" s="86">
        <f t="shared" si="12"/>
        <v>4500</v>
      </c>
      <c r="AD23" s="86">
        <f t="shared" si="12"/>
        <v>0</v>
      </c>
      <c r="AE23" s="91">
        <f>AD23/AC23</f>
        <v>0</v>
      </c>
      <c r="AF23" s="86">
        <f t="shared" si="12"/>
        <v>4500</v>
      </c>
      <c r="AG23" s="86">
        <f t="shared" si="12"/>
        <v>0</v>
      </c>
      <c r="AH23" s="91">
        <f>AG23/AF23</f>
        <v>0</v>
      </c>
      <c r="AI23" s="86">
        <f t="shared" si="12"/>
        <v>4500</v>
      </c>
      <c r="AJ23" s="86">
        <f t="shared" si="12"/>
        <v>0</v>
      </c>
      <c r="AK23" s="91">
        <f>AJ23/AI23</f>
        <v>0</v>
      </c>
      <c r="AL23" s="86">
        <f t="shared" si="12"/>
        <v>4500</v>
      </c>
      <c r="AM23" s="86">
        <f t="shared" si="12"/>
        <v>0</v>
      </c>
      <c r="AN23" s="91">
        <f>AM23/AL23</f>
        <v>0</v>
      </c>
      <c r="AO23" s="86">
        <f t="shared" si="12"/>
        <v>4500</v>
      </c>
      <c r="AP23" s="86">
        <f t="shared" si="12"/>
        <v>0</v>
      </c>
      <c r="AQ23" s="91">
        <f>AP23/AO23</f>
        <v>0</v>
      </c>
      <c r="AR23" s="86">
        <f>SUM(AR19:AR22)</f>
        <v>27000</v>
      </c>
      <c r="AS23" s="86">
        <f t="shared" ref="AS23" si="13">SUM(AS19:AS22)</f>
        <v>3320</v>
      </c>
      <c r="AT23" s="104">
        <f>AS23/AR23</f>
        <v>0.12296296296296297</v>
      </c>
      <c r="AU23" s="86">
        <f t="shared" si="12"/>
        <v>54000</v>
      </c>
      <c r="AV23" s="86">
        <f t="shared" si="12"/>
        <v>26720</v>
      </c>
      <c r="AW23" s="105">
        <f>AV23/AU23</f>
        <v>0.49481481481481482</v>
      </c>
    </row>
    <row r="24" spans="1:59" s="63" customFormat="1" ht="141.75" customHeight="1">
      <c r="A24" s="64"/>
      <c r="O24" s="83"/>
      <c r="AU24" s="87"/>
      <c r="AV24" s="87"/>
      <c r="AW24" s="87"/>
    </row>
    <row r="25" spans="1:59" ht="80.25" customHeight="1">
      <c r="B25" s="80"/>
      <c r="C25" s="80"/>
      <c r="D25" s="80"/>
      <c r="E25" s="220"/>
      <c r="F25" s="220"/>
      <c r="G25" s="80"/>
      <c r="H25" s="80"/>
      <c r="I25" s="80"/>
      <c r="J25" s="80"/>
      <c r="K25" s="80"/>
      <c r="L25" s="80"/>
      <c r="M25" s="80"/>
      <c r="N25" s="80"/>
      <c r="O25" s="80"/>
      <c r="P25" s="80"/>
      <c r="Q25" s="80"/>
      <c r="R25" s="80"/>
      <c r="S25" s="80"/>
      <c r="T25" s="80"/>
      <c r="U25" s="80"/>
      <c r="V25" s="80"/>
      <c r="W25" s="80"/>
      <c r="X25" s="80"/>
      <c r="Y25" s="80"/>
      <c r="Z25" s="80"/>
      <c r="AA25" s="80"/>
      <c r="AB25" s="80"/>
      <c r="AC25" s="80"/>
      <c r="AD25" s="80"/>
      <c r="AE25" s="80"/>
      <c r="AF25" s="80"/>
      <c r="AG25" s="80"/>
      <c r="AH25" s="80"/>
      <c r="AI25" s="80"/>
      <c r="AJ25" s="80"/>
      <c r="AK25" s="80"/>
      <c r="AL25" s="80"/>
      <c r="AM25" s="80"/>
      <c r="AN25" s="80"/>
      <c r="AO25" s="80"/>
      <c r="AP25" s="80"/>
      <c r="AQ25" s="80"/>
      <c r="AR25" s="80"/>
      <c r="AS25" s="80"/>
      <c r="AT25" s="80"/>
      <c r="AU25" s="80"/>
      <c r="AV25" s="80"/>
      <c r="AW25" s="80"/>
    </row>
    <row r="26" spans="1:59" s="58" customFormat="1" ht="20.25" customHeight="1">
      <c r="A26" s="54"/>
      <c r="B26" s="55"/>
      <c r="E26" s="65"/>
      <c r="F26" s="65"/>
      <c r="G26" s="65"/>
      <c r="H26" s="65"/>
      <c r="I26" s="57"/>
      <c r="J26" s="65"/>
      <c r="K26" s="57"/>
      <c r="L26" s="65"/>
      <c r="M26" s="65"/>
      <c r="N26" s="65"/>
      <c r="O26" s="65"/>
      <c r="P26" s="65"/>
      <c r="Q26" s="65"/>
      <c r="R26" s="65"/>
      <c r="S26" s="65"/>
      <c r="T26" s="65"/>
      <c r="U26" s="65"/>
      <c r="V26" s="65"/>
      <c r="W26" s="65"/>
      <c r="X26" s="65"/>
      <c r="Y26" s="57"/>
      <c r="Z26" s="65"/>
      <c r="AA26" s="65"/>
      <c r="AB26" s="65"/>
      <c r="AC26" s="65"/>
      <c r="AD26" s="57"/>
      <c r="AE26" s="65"/>
      <c r="AF26" s="57"/>
      <c r="AG26" s="65"/>
      <c r="AH26" s="65"/>
      <c r="AI26" s="65"/>
      <c r="AJ26" s="65"/>
      <c r="AK26" s="65"/>
      <c r="AL26" s="65"/>
      <c r="AM26" s="65"/>
      <c r="AN26" s="65"/>
      <c r="AO26" s="65"/>
      <c r="AP26" s="65"/>
      <c r="AQ26" s="65"/>
      <c r="AR26" s="65"/>
      <c r="AS26" s="65"/>
      <c r="AT26" s="57"/>
      <c r="AU26" s="65"/>
      <c r="AV26" s="65"/>
      <c r="AW26" s="66"/>
      <c r="BB26" s="59"/>
      <c r="BC26" s="59"/>
      <c r="BD26" s="59"/>
      <c r="BE26" s="59"/>
      <c r="BF26" s="59"/>
      <c r="BG26" s="59"/>
    </row>
    <row r="27" spans="1:59" s="58" customFormat="1" ht="20.25" customHeight="1">
      <c r="A27" s="54"/>
      <c r="B27" s="55"/>
      <c r="E27" s="65"/>
      <c r="F27" s="65"/>
      <c r="G27" s="65"/>
      <c r="H27" s="65"/>
      <c r="I27" s="57"/>
      <c r="J27" s="65"/>
      <c r="K27" s="57"/>
      <c r="L27" s="65"/>
      <c r="M27" s="65"/>
      <c r="N27" s="65"/>
      <c r="O27" s="65"/>
      <c r="P27" s="65"/>
      <c r="Q27" s="65"/>
      <c r="R27" s="65"/>
      <c r="S27" s="65"/>
      <c r="T27" s="65"/>
      <c r="U27" s="65"/>
      <c r="V27" s="65"/>
      <c r="W27" s="65"/>
      <c r="X27" s="65"/>
      <c r="Y27" s="57"/>
      <c r="Z27" s="65"/>
      <c r="AA27" s="65"/>
      <c r="AB27" s="65"/>
      <c r="AC27" s="65"/>
      <c r="AD27" s="57"/>
      <c r="AE27" s="65"/>
      <c r="AF27" s="57"/>
      <c r="AG27" s="65"/>
      <c r="AH27" s="65"/>
      <c r="AI27" s="65"/>
      <c r="AJ27" s="65"/>
      <c r="AK27" s="65"/>
      <c r="AL27" s="65"/>
      <c r="AM27" s="65"/>
      <c r="AN27" s="65"/>
      <c r="AO27" s="65"/>
      <c r="AP27" s="65"/>
      <c r="AQ27" s="65"/>
      <c r="AR27" s="65"/>
      <c r="AS27" s="65"/>
      <c r="AT27" s="57"/>
      <c r="AU27" s="65"/>
      <c r="AV27" s="65"/>
      <c r="AW27" s="66"/>
      <c r="BB27" s="59"/>
      <c r="BC27" s="59"/>
      <c r="BD27" s="59"/>
      <c r="BE27" s="59"/>
      <c r="BF27" s="59"/>
      <c r="BG27" s="59"/>
    </row>
    <row r="28" spans="1:59" s="58" customFormat="1" ht="20.25" customHeight="1">
      <c r="A28" s="54"/>
      <c r="B28" s="55"/>
      <c r="E28" s="65"/>
      <c r="F28" s="65"/>
      <c r="G28" s="65"/>
      <c r="H28" s="65"/>
      <c r="I28" s="57"/>
      <c r="J28" s="65"/>
      <c r="K28" s="57"/>
      <c r="L28" s="57"/>
      <c r="M28" s="65"/>
      <c r="N28" s="57"/>
      <c r="O28" s="57"/>
      <c r="P28" s="65"/>
      <c r="Q28" s="57"/>
      <c r="R28" s="57"/>
      <c r="S28" s="65"/>
      <c r="T28" s="57"/>
      <c r="U28" s="57"/>
      <c r="V28" s="65"/>
      <c r="W28" s="57"/>
      <c r="X28" s="57"/>
      <c r="Y28" s="57"/>
      <c r="Z28" s="65"/>
      <c r="AA28" s="65"/>
      <c r="AB28" s="65"/>
      <c r="AC28" s="65"/>
      <c r="AD28" s="57"/>
      <c r="AE28" s="65"/>
      <c r="AF28" s="57"/>
      <c r="AG28" s="57"/>
      <c r="AH28" s="65"/>
      <c r="AI28" s="57"/>
      <c r="AJ28" s="57"/>
      <c r="AK28" s="65"/>
      <c r="AL28" s="57"/>
      <c r="AM28" s="57"/>
      <c r="AN28" s="65"/>
      <c r="AO28" s="57"/>
      <c r="AP28" s="57"/>
      <c r="AQ28" s="65"/>
      <c r="AR28" s="57"/>
      <c r="AS28" s="57"/>
      <c r="AT28" s="57"/>
      <c r="AU28" s="57"/>
      <c r="AV28" s="57"/>
      <c r="AW28" s="66"/>
      <c r="BB28" s="59"/>
      <c r="BC28" s="59"/>
      <c r="BD28" s="59"/>
      <c r="BE28" s="59"/>
      <c r="BF28" s="59"/>
      <c r="BG28" s="59"/>
    </row>
    <row r="29" spans="1:59" s="58" customFormat="1" ht="20.25" customHeight="1">
      <c r="A29" s="54"/>
      <c r="B29" s="55"/>
      <c r="C29" s="56"/>
      <c r="D29" s="56"/>
      <c r="E29" s="57"/>
      <c r="F29" s="57"/>
      <c r="G29" s="57"/>
      <c r="H29" s="57"/>
      <c r="I29" s="57"/>
      <c r="J29" s="57"/>
      <c r="K29" s="57"/>
      <c r="L29" s="57"/>
      <c r="M29" s="57"/>
      <c r="N29" s="57"/>
      <c r="O29" s="57"/>
      <c r="P29" s="57"/>
      <c r="Q29" s="57"/>
      <c r="R29" s="57"/>
      <c r="S29" s="57"/>
      <c r="T29" s="57"/>
      <c r="U29" s="57"/>
      <c r="V29" s="57"/>
      <c r="W29" s="57"/>
      <c r="X29" s="57"/>
      <c r="Y29" s="57"/>
      <c r="Z29" s="57"/>
      <c r="AA29" s="57"/>
      <c r="AB29" s="57"/>
      <c r="AC29" s="57"/>
      <c r="AD29" s="57"/>
      <c r="AE29" s="57"/>
      <c r="AF29" s="57"/>
      <c r="AG29" s="57"/>
      <c r="AH29" s="57"/>
      <c r="AI29" s="57"/>
      <c r="AJ29" s="57"/>
      <c r="AK29" s="57"/>
      <c r="AL29" s="57"/>
      <c r="AM29" s="57"/>
      <c r="AN29" s="57"/>
      <c r="AO29" s="57"/>
      <c r="AP29" s="57"/>
      <c r="AQ29" s="57"/>
      <c r="AR29" s="57"/>
      <c r="AS29" s="57"/>
      <c r="AT29" s="57"/>
      <c r="AU29" s="57"/>
      <c r="AV29" s="57"/>
      <c r="AW29" s="66"/>
      <c r="BB29" s="59"/>
      <c r="BC29" s="59"/>
      <c r="BD29" s="59"/>
      <c r="BE29" s="59"/>
      <c r="BF29" s="59"/>
      <c r="BG29" s="59"/>
    </row>
    <row r="30" spans="1:59" s="58" customFormat="1" ht="20.25" customHeight="1">
      <c r="A30" s="54"/>
      <c r="B30" s="55"/>
      <c r="C30" s="56"/>
      <c r="D30" s="56"/>
      <c r="E30" s="57"/>
      <c r="F30" s="57"/>
      <c r="G30" s="57"/>
      <c r="H30" s="57"/>
      <c r="I30" s="57"/>
      <c r="J30" s="57"/>
      <c r="K30" s="57"/>
      <c r="L30" s="65"/>
      <c r="M30" s="57"/>
      <c r="N30" s="57"/>
      <c r="O30" s="57"/>
      <c r="P30" s="57"/>
      <c r="Q30" s="57"/>
      <c r="R30" s="57"/>
      <c r="S30" s="57"/>
      <c r="T30" s="57"/>
      <c r="U30" s="57"/>
      <c r="V30" s="57"/>
      <c r="W30" s="57"/>
      <c r="X30" s="57"/>
      <c r="Y30" s="57"/>
      <c r="Z30" s="57"/>
      <c r="AA30" s="57"/>
      <c r="AB30" s="57"/>
      <c r="AC30" s="57"/>
      <c r="AD30" s="57"/>
      <c r="AE30" s="57"/>
      <c r="AF30" s="57"/>
      <c r="AG30" s="65"/>
      <c r="AH30" s="57"/>
      <c r="AI30" s="57"/>
      <c r="AJ30" s="57"/>
      <c r="AK30" s="57"/>
      <c r="AL30" s="57"/>
      <c r="AM30" s="57"/>
      <c r="AN30" s="57"/>
      <c r="AO30" s="57"/>
      <c r="AP30" s="57"/>
      <c r="AQ30" s="57"/>
      <c r="AR30" s="57"/>
      <c r="AS30" s="57"/>
      <c r="AT30" s="57"/>
      <c r="AU30" s="57"/>
      <c r="AV30" s="57"/>
      <c r="AW30" s="66"/>
      <c r="BB30" s="59"/>
      <c r="BC30" s="59"/>
      <c r="BD30" s="59"/>
      <c r="BE30" s="59"/>
      <c r="BF30" s="59"/>
      <c r="BG30" s="59"/>
    </row>
    <row r="31" spans="1:59" s="58" customFormat="1" ht="20.25" customHeight="1">
      <c r="A31" s="54"/>
      <c r="B31" s="55"/>
      <c r="C31" s="56"/>
      <c r="D31" s="56"/>
      <c r="E31" s="57"/>
      <c r="F31" s="57"/>
      <c r="G31" s="57"/>
      <c r="H31" s="57"/>
      <c r="I31" s="57"/>
      <c r="J31" s="57"/>
      <c r="K31" s="57"/>
      <c r="L31" s="57"/>
      <c r="M31" s="57"/>
      <c r="N31" s="57"/>
      <c r="O31" s="57"/>
      <c r="P31" s="57"/>
      <c r="Q31" s="57"/>
      <c r="R31" s="57"/>
      <c r="S31" s="57"/>
      <c r="T31" s="57"/>
      <c r="U31" s="57"/>
      <c r="V31" s="57"/>
      <c r="W31" s="57"/>
      <c r="X31" s="57"/>
      <c r="Y31" s="57"/>
      <c r="Z31" s="57"/>
      <c r="AA31" s="57"/>
      <c r="AB31" s="57"/>
      <c r="AC31" s="57"/>
      <c r="AD31" s="57"/>
      <c r="AE31" s="57"/>
      <c r="AF31" s="57"/>
      <c r="AG31" s="57"/>
      <c r="AH31" s="57"/>
      <c r="AI31" s="57"/>
      <c r="AJ31" s="57"/>
      <c r="AK31" s="57"/>
      <c r="AL31" s="57"/>
      <c r="AM31" s="57"/>
      <c r="AN31" s="57"/>
      <c r="AO31" s="57"/>
      <c r="AP31" s="57"/>
      <c r="AQ31" s="57"/>
      <c r="AR31" s="57"/>
      <c r="AS31" s="57"/>
      <c r="AT31" s="57"/>
      <c r="AU31" s="57"/>
      <c r="AV31" s="57"/>
      <c r="AW31" s="66"/>
      <c r="BB31" s="59"/>
      <c r="BC31" s="59"/>
      <c r="BD31" s="59"/>
      <c r="BE31" s="59"/>
      <c r="BF31" s="59"/>
      <c r="BG31" s="59"/>
    </row>
    <row r="32" spans="1:59" s="58" customFormat="1" ht="20.25" customHeight="1">
      <c r="A32" s="54"/>
      <c r="B32" s="55"/>
      <c r="C32" s="56"/>
      <c r="D32" s="56"/>
      <c r="E32" s="57"/>
      <c r="F32" s="57"/>
      <c r="G32" s="57"/>
      <c r="H32" s="57"/>
      <c r="I32" s="57"/>
      <c r="J32" s="57"/>
      <c r="K32" s="57"/>
      <c r="L32" s="57"/>
      <c r="M32" s="57"/>
      <c r="N32" s="57"/>
      <c r="O32" s="57"/>
      <c r="P32" s="57"/>
      <c r="Q32" s="57"/>
      <c r="R32" s="57"/>
      <c r="S32" s="57"/>
      <c r="T32" s="57"/>
      <c r="U32" s="57"/>
      <c r="V32" s="57"/>
      <c r="W32" s="57"/>
      <c r="X32" s="57"/>
      <c r="Y32" s="57"/>
      <c r="Z32" s="57"/>
      <c r="AA32" s="57"/>
      <c r="AB32" s="57"/>
      <c r="AC32" s="57"/>
      <c r="AD32" s="57"/>
      <c r="AE32" s="57"/>
      <c r="AF32" s="57"/>
      <c r="AG32" s="57"/>
      <c r="AH32" s="57"/>
      <c r="AI32" s="57"/>
      <c r="AJ32" s="57"/>
      <c r="AK32" s="57"/>
      <c r="AL32" s="57"/>
      <c r="AM32" s="57"/>
      <c r="AN32" s="57"/>
      <c r="AO32" s="57"/>
      <c r="AP32" s="57"/>
      <c r="AQ32" s="57"/>
      <c r="AR32" s="57"/>
      <c r="AS32" s="57"/>
      <c r="AT32" s="57"/>
      <c r="AU32" s="57"/>
      <c r="AV32" s="57"/>
      <c r="AW32" s="66"/>
      <c r="BB32" s="59"/>
      <c r="BC32" s="59"/>
      <c r="BD32" s="59"/>
      <c r="BE32" s="59"/>
      <c r="BF32" s="59"/>
      <c r="BG32" s="59"/>
    </row>
  </sheetData>
  <mergeCells count="44">
    <mergeCell ref="A2:D2"/>
    <mergeCell ref="AY2:AZ2"/>
    <mergeCell ref="B3:D3"/>
    <mergeCell ref="AX3:AY3"/>
    <mergeCell ref="B4:D4"/>
    <mergeCell ref="E4:G4"/>
    <mergeCell ref="H4:J4"/>
    <mergeCell ref="K4:M4"/>
    <mergeCell ref="N4:P4"/>
    <mergeCell ref="Q4:S4"/>
    <mergeCell ref="AX4:AY4"/>
    <mergeCell ref="AF4:AH4"/>
    <mergeCell ref="AI4:AK4"/>
    <mergeCell ref="AL4:AN4"/>
    <mergeCell ref="AO4:AQ4"/>
    <mergeCell ref="AR4:AT4"/>
    <mergeCell ref="AU4:AW4"/>
    <mergeCell ref="B6:D6"/>
    <mergeCell ref="Z4:AB4"/>
    <mergeCell ref="AC4:AE4"/>
    <mergeCell ref="AX8:AX9"/>
    <mergeCell ref="B9:D9"/>
    <mergeCell ref="B7:D7"/>
    <mergeCell ref="B8:D8"/>
    <mergeCell ref="B5:D5"/>
    <mergeCell ref="T4:V4"/>
    <mergeCell ref="W4:Y4"/>
    <mergeCell ref="B11:D11"/>
    <mergeCell ref="B12:D12"/>
    <mergeCell ref="AX12:AY12"/>
    <mergeCell ref="B10:D10"/>
    <mergeCell ref="B13:D13"/>
    <mergeCell ref="B14:D14"/>
    <mergeCell ref="AX14:AX16"/>
    <mergeCell ref="B15:D15"/>
    <mergeCell ref="B16:D16"/>
    <mergeCell ref="B23:D23"/>
    <mergeCell ref="E25:F25"/>
    <mergeCell ref="B17:D17"/>
    <mergeCell ref="B18:D18"/>
    <mergeCell ref="B19:D19"/>
    <mergeCell ref="B20:D20"/>
    <mergeCell ref="B21:D21"/>
    <mergeCell ref="B22:D22"/>
  </mergeCells>
  <phoneticPr fontId="1"/>
  <printOptions horizontalCentered="1"/>
  <pageMargins left="0.25" right="0.25" top="0.75" bottom="0.75" header="0.3" footer="0.3"/>
  <pageSetup paperSize="8" scale="22" orientation="landscape" r:id="rId1"/>
  <headerFooter>
    <oddHeader>&amp;R&amp;"HG丸ｺﾞｼｯｸM-PRO,標準"&amp;14ＳＨＣ</oddHeader>
  </headerFooter>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7FC605-9283-4EA3-9C8B-5EB51042DE6D}">
  <sheetPr>
    <tabColor rgb="FF7030A0"/>
    <pageSetUpPr fitToPage="1"/>
  </sheetPr>
  <dimension ref="A1:BG32"/>
  <sheetViews>
    <sheetView showGridLines="0" view="pageBreakPreview" topLeftCell="B1" zoomScale="34" zoomScaleNormal="100" zoomScaleSheetLayoutView="34" zoomScalePageLayoutView="80" workbookViewId="0">
      <pane xSplit="3" ySplit="6" topLeftCell="J7" activePane="bottomRight" state="frozen"/>
      <selection activeCell="B1" sqref="B1"/>
      <selection pane="topRight" activeCell="E1" sqref="E1"/>
      <selection pane="bottomLeft" activeCell="B6" sqref="B6"/>
      <selection pane="bottomRight" activeCell="U15" sqref="U15"/>
    </sheetView>
  </sheetViews>
  <sheetFormatPr defaultColWidth="9" defaultRowHeight="20.25" customHeight="1" outlineLevelRow="1"/>
  <cols>
    <col min="1" max="1" width="9" style="54"/>
    <col min="2" max="2" width="20.59765625" style="55" customWidth="1"/>
    <col min="3" max="4" width="20.59765625" style="56" customWidth="1"/>
    <col min="5" max="8" width="18.265625" style="57" customWidth="1"/>
    <col min="9" max="9" width="16.1328125" style="57" customWidth="1"/>
    <col min="10" max="22" width="18.265625" style="57" customWidth="1"/>
    <col min="23" max="23" width="23.33203125" style="57" bestFit="1" customWidth="1"/>
    <col min="24" max="43" width="18.265625" style="57" customWidth="1"/>
    <col min="44" max="44" width="23.33203125" style="57" bestFit="1" customWidth="1"/>
    <col min="45" max="46" width="18.265625" style="57" customWidth="1"/>
    <col min="47" max="47" width="23.33203125" style="57" bestFit="1" customWidth="1"/>
    <col min="48" max="48" width="18.265625" style="57" customWidth="1"/>
    <col min="49" max="49" width="18.265625" style="66" customWidth="1"/>
    <col min="50" max="51" width="10.06640625" style="58" customWidth="1"/>
    <col min="52" max="52" width="12.33203125" style="58" customWidth="1"/>
    <col min="53" max="53" width="2.33203125" style="58" customWidth="1"/>
    <col min="54" max="58" width="9" style="59"/>
    <col min="59" max="59" width="25.796875" style="59" customWidth="1"/>
    <col min="60" max="16384" width="9" style="59"/>
  </cols>
  <sheetData>
    <row r="1" spans="1:53" ht="20.25" customHeight="1">
      <c r="AW1" s="57"/>
    </row>
    <row r="2" spans="1:53" s="63" customFormat="1" ht="80.25" customHeight="1">
      <c r="A2" s="180" t="s">
        <v>39</v>
      </c>
      <c r="B2" s="180"/>
      <c r="C2" s="180"/>
      <c r="D2" s="180"/>
      <c r="E2" s="60"/>
      <c r="F2" s="60"/>
      <c r="G2" s="60"/>
      <c r="H2" s="60"/>
      <c r="I2" s="60"/>
      <c r="J2" s="60"/>
      <c r="K2" s="60"/>
      <c r="L2" s="60"/>
      <c r="M2" s="60"/>
      <c r="N2" s="60"/>
      <c r="O2" s="60"/>
      <c r="P2" s="60"/>
      <c r="Q2" s="60"/>
      <c r="R2" s="60"/>
      <c r="S2" s="60"/>
      <c r="T2" s="60"/>
      <c r="U2" s="60"/>
      <c r="V2" s="60"/>
      <c r="W2" s="60"/>
      <c r="X2" s="60"/>
      <c r="Y2" s="60"/>
      <c r="Z2" s="60"/>
      <c r="AA2" s="60"/>
      <c r="AB2" s="60"/>
      <c r="AC2" s="60"/>
      <c r="AD2" s="60"/>
      <c r="AE2" s="60"/>
      <c r="AF2" s="60"/>
      <c r="AG2" s="60"/>
      <c r="AH2" s="60"/>
      <c r="AI2" s="60"/>
      <c r="AJ2" s="60"/>
      <c r="AK2" s="60"/>
      <c r="AL2" s="60"/>
      <c r="AM2" s="60"/>
      <c r="AN2" s="60"/>
      <c r="AO2" s="60"/>
      <c r="AP2" s="60"/>
      <c r="AQ2" s="60"/>
      <c r="AR2" s="60"/>
      <c r="AS2" s="60"/>
      <c r="AT2" s="60"/>
      <c r="AU2" s="60"/>
      <c r="AV2" s="60"/>
      <c r="AW2" s="60"/>
      <c r="AX2" s="61"/>
      <c r="AY2" s="181"/>
      <c r="AZ2" s="182"/>
      <c r="BA2" s="62"/>
    </row>
    <row r="3" spans="1:53" s="63" customFormat="1" ht="80.25" customHeight="1" thickBot="1">
      <c r="A3" s="64"/>
      <c r="B3" s="183" t="s">
        <v>57</v>
      </c>
      <c r="C3" s="183"/>
      <c r="D3" s="183"/>
      <c r="E3" s="60"/>
      <c r="F3" s="60"/>
      <c r="G3" s="60"/>
      <c r="H3" s="60"/>
      <c r="I3" s="60"/>
      <c r="J3" s="60"/>
      <c r="K3" s="60"/>
      <c r="L3" s="60"/>
      <c r="M3" s="60"/>
      <c r="N3" s="60"/>
      <c r="O3" s="60"/>
      <c r="P3" s="60"/>
      <c r="Q3" s="60"/>
      <c r="R3" s="60"/>
      <c r="S3" s="60"/>
      <c r="T3" s="60"/>
      <c r="U3" s="60"/>
      <c r="V3" s="60"/>
      <c r="W3" s="60"/>
      <c r="X3" s="60"/>
      <c r="Y3" s="60"/>
      <c r="Z3" s="60"/>
      <c r="AA3" s="60"/>
      <c r="AB3" s="60"/>
      <c r="AC3" s="60"/>
      <c r="AD3" s="60"/>
      <c r="AE3" s="60"/>
      <c r="AF3" s="60"/>
      <c r="AG3" s="60"/>
      <c r="AH3" s="60"/>
      <c r="AI3" s="60"/>
      <c r="AJ3" s="60"/>
      <c r="AK3" s="60"/>
      <c r="AL3" s="60"/>
      <c r="AM3" s="60"/>
      <c r="AN3" s="60"/>
      <c r="AO3" s="60"/>
      <c r="AP3" s="60"/>
      <c r="AQ3" s="60"/>
      <c r="AR3" s="60"/>
      <c r="AS3" s="60"/>
      <c r="AT3" s="60"/>
      <c r="AU3" s="60"/>
      <c r="AV3" s="60"/>
      <c r="AW3" s="60" t="s">
        <v>46</v>
      </c>
      <c r="AX3" s="184"/>
      <c r="AY3" s="184"/>
    </row>
    <row r="4" spans="1:53" ht="76.05" customHeight="1">
      <c r="B4" s="185"/>
      <c r="C4" s="186"/>
      <c r="D4" s="187"/>
      <c r="E4" s="188" t="s">
        <v>14</v>
      </c>
      <c r="F4" s="189"/>
      <c r="G4" s="190"/>
      <c r="H4" s="188" t="s">
        <v>13</v>
      </c>
      <c r="I4" s="189"/>
      <c r="J4" s="190"/>
      <c r="K4" s="188" t="s">
        <v>12</v>
      </c>
      <c r="L4" s="189"/>
      <c r="M4" s="190"/>
      <c r="N4" s="188" t="s">
        <v>11</v>
      </c>
      <c r="O4" s="189"/>
      <c r="P4" s="190"/>
      <c r="Q4" s="198" t="s">
        <v>10</v>
      </c>
      <c r="R4" s="199"/>
      <c r="S4" s="200"/>
      <c r="T4" s="188" t="s">
        <v>9</v>
      </c>
      <c r="U4" s="189"/>
      <c r="V4" s="190"/>
      <c r="W4" s="192" t="s">
        <v>43</v>
      </c>
      <c r="X4" s="193"/>
      <c r="Y4" s="194"/>
      <c r="Z4" s="188" t="s">
        <v>6</v>
      </c>
      <c r="AA4" s="189"/>
      <c r="AB4" s="190"/>
      <c r="AC4" s="188" t="s">
        <v>50</v>
      </c>
      <c r="AD4" s="189"/>
      <c r="AE4" s="190"/>
      <c r="AF4" s="188" t="s">
        <v>51</v>
      </c>
      <c r="AG4" s="189"/>
      <c r="AH4" s="190"/>
      <c r="AI4" s="188" t="s">
        <v>52</v>
      </c>
      <c r="AJ4" s="189"/>
      <c r="AK4" s="190"/>
      <c r="AL4" s="188" t="s">
        <v>53</v>
      </c>
      <c r="AM4" s="189"/>
      <c r="AN4" s="190"/>
      <c r="AO4" s="188" t="s">
        <v>54</v>
      </c>
      <c r="AP4" s="189"/>
      <c r="AQ4" s="190"/>
      <c r="AR4" s="192" t="s">
        <v>44</v>
      </c>
      <c r="AS4" s="193"/>
      <c r="AT4" s="194"/>
      <c r="AU4" s="235" t="s">
        <v>45</v>
      </c>
      <c r="AV4" s="236"/>
      <c r="AW4" s="237"/>
      <c r="AX4" s="191"/>
      <c r="AY4" s="191"/>
      <c r="AZ4" s="65"/>
      <c r="BA4" s="65"/>
    </row>
    <row r="5" spans="1:53" ht="88.5" customHeight="1">
      <c r="B5" s="210"/>
      <c r="C5" s="189"/>
      <c r="D5" s="190"/>
      <c r="E5" s="97" t="s">
        <v>47</v>
      </c>
      <c r="F5" s="98" t="s">
        <v>48</v>
      </c>
      <c r="G5" s="99" t="s">
        <v>49</v>
      </c>
      <c r="H5" s="97" t="s">
        <v>47</v>
      </c>
      <c r="I5" s="98" t="s">
        <v>48</v>
      </c>
      <c r="J5" s="99" t="s">
        <v>49</v>
      </c>
      <c r="K5" s="97" t="s">
        <v>47</v>
      </c>
      <c r="L5" s="98" t="s">
        <v>48</v>
      </c>
      <c r="M5" s="99" t="s">
        <v>49</v>
      </c>
      <c r="N5" s="97" t="s">
        <v>47</v>
      </c>
      <c r="O5" s="98" t="s">
        <v>48</v>
      </c>
      <c r="P5" s="99" t="s">
        <v>49</v>
      </c>
      <c r="Q5" s="97" t="s">
        <v>47</v>
      </c>
      <c r="R5" s="98" t="s">
        <v>48</v>
      </c>
      <c r="S5" s="99" t="s">
        <v>49</v>
      </c>
      <c r="T5" s="97" t="s">
        <v>47</v>
      </c>
      <c r="U5" s="98" t="s">
        <v>48</v>
      </c>
      <c r="V5" s="99" t="s">
        <v>49</v>
      </c>
      <c r="W5" s="97" t="s">
        <v>47</v>
      </c>
      <c r="X5" s="98" t="s">
        <v>48</v>
      </c>
      <c r="Y5" s="99" t="s">
        <v>49</v>
      </c>
      <c r="Z5" s="97" t="s">
        <v>47</v>
      </c>
      <c r="AA5" s="98" t="s">
        <v>48</v>
      </c>
      <c r="AB5" s="99" t="s">
        <v>49</v>
      </c>
      <c r="AC5" s="97" t="s">
        <v>47</v>
      </c>
      <c r="AD5" s="98" t="s">
        <v>48</v>
      </c>
      <c r="AE5" s="99" t="s">
        <v>49</v>
      </c>
      <c r="AF5" s="97" t="s">
        <v>47</v>
      </c>
      <c r="AG5" s="98" t="s">
        <v>48</v>
      </c>
      <c r="AH5" s="99" t="s">
        <v>49</v>
      </c>
      <c r="AI5" s="97" t="s">
        <v>47</v>
      </c>
      <c r="AJ5" s="98" t="s">
        <v>48</v>
      </c>
      <c r="AK5" s="99" t="s">
        <v>49</v>
      </c>
      <c r="AL5" s="97" t="s">
        <v>47</v>
      </c>
      <c r="AM5" s="98" t="s">
        <v>48</v>
      </c>
      <c r="AN5" s="99" t="s">
        <v>49</v>
      </c>
      <c r="AO5" s="97" t="s">
        <v>47</v>
      </c>
      <c r="AP5" s="98" t="s">
        <v>48</v>
      </c>
      <c r="AQ5" s="99" t="s">
        <v>49</v>
      </c>
      <c r="AR5" s="97" t="s">
        <v>47</v>
      </c>
      <c r="AS5" s="98" t="s">
        <v>48</v>
      </c>
      <c r="AT5" s="99" t="s">
        <v>49</v>
      </c>
      <c r="AU5" s="97" t="s">
        <v>47</v>
      </c>
      <c r="AV5" s="98" t="s">
        <v>48</v>
      </c>
      <c r="AW5" s="99" t="s">
        <v>49</v>
      </c>
      <c r="AX5" s="65"/>
      <c r="AY5" s="65"/>
      <c r="AZ5" s="65"/>
      <c r="BA5" s="65"/>
    </row>
    <row r="6" spans="1:53" ht="99" customHeight="1">
      <c r="B6" s="238" t="s">
        <v>18</v>
      </c>
      <c r="C6" s="239"/>
      <c r="D6" s="240"/>
      <c r="E6" s="92">
        <f>E12+E17+E23</f>
        <v>5600</v>
      </c>
      <c r="F6" s="93">
        <f>F12+F17+F23</f>
        <v>3687.9</v>
      </c>
      <c r="G6" s="88">
        <f>F6/E6</f>
        <v>0.6585535714285714</v>
      </c>
      <c r="H6" s="82">
        <f>H12+H17+H23</f>
        <v>6000</v>
      </c>
      <c r="I6" s="81">
        <f>I12+I17+I23</f>
        <v>5234.3999999999996</v>
      </c>
      <c r="J6" s="88">
        <f>I6/H6</f>
        <v>0.87239999999999995</v>
      </c>
      <c r="K6" s="81">
        <f>K12+K17+K23</f>
        <v>5600</v>
      </c>
      <c r="L6" s="81">
        <f>L12+L17+L23</f>
        <v>5572.2</v>
      </c>
      <c r="M6" s="88">
        <f>L6/K6</f>
        <v>0.99503571428571425</v>
      </c>
      <c r="N6" s="81">
        <f>N12+N17+N23</f>
        <v>6000</v>
      </c>
      <c r="O6" s="81">
        <f>O12+O17+O23</f>
        <v>3429.2</v>
      </c>
      <c r="P6" s="88">
        <f>O6/N6</f>
        <v>0.57153333333333334</v>
      </c>
      <c r="Q6" s="117">
        <f>Q12+Q17+Q23</f>
        <v>5600</v>
      </c>
      <c r="R6" s="81">
        <f>R12+R17+R23</f>
        <v>3995</v>
      </c>
      <c r="S6" s="88">
        <f>R6/Q6</f>
        <v>0.71339285714285716</v>
      </c>
      <c r="T6" s="81">
        <f>T12+T17+T23</f>
        <v>6000</v>
      </c>
      <c r="U6" s="81">
        <f>U12+U17+U23</f>
        <v>3897</v>
      </c>
      <c r="V6" s="88">
        <f>U6/T6</f>
        <v>0.64949999999999997</v>
      </c>
      <c r="W6" s="81">
        <f>W12+W17+W23</f>
        <v>34800</v>
      </c>
      <c r="X6" s="81">
        <f>X12+X17+X23</f>
        <v>25815.7</v>
      </c>
      <c r="Y6" s="88">
        <f>X6/W6</f>
        <v>0.74183045977011497</v>
      </c>
      <c r="Z6" s="81">
        <f>Z12+Z17+Z23</f>
        <v>5600</v>
      </c>
      <c r="AA6" s="81">
        <f>AA12+AA17+AA23</f>
        <v>0</v>
      </c>
      <c r="AB6" s="88">
        <f>AA6/Z6</f>
        <v>0</v>
      </c>
      <c r="AC6" s="81">
        <f>AC12+AC17+AC23</f>
        <v>6000</v>
      </c>
      <c r="AD6" s="81">
        <f>AD12+AD17+AD23</f>
        <v>0</v>
      </c>
      <c r="AE6" s="88">
        <f>AD6/AC6</f>
        <v>0</v>
      </c>
      <c r="AF6" s="81">
        <f>AF12+AF17+AF23</f>
        <v>5600</v>
      </c>
      <c r="AG6" s="81">
        <f>AG12+AG17+AG23</f>
        <v>0</v>
      </c>
      <c r="AH6" s="88">
        <f>AG6/AF6</f>
        <v>0</v>
      </c>
      <c r="AI6" s="81">
        <f>AI12+AI17+AI23</f>
        <v>6000</v>
      </c>
      <c r="AJ6" s="81">
        <f>AJ12+AJ17+AJ23</f>
        <v>0</v>
      </c>
      <c r="AK6" s="88">
        <f>AJ6/AI6</f>
        <v>0</v>
      </c>
      <c r="AL6" s="81">
        <f>AL12+AL17+AL23</f>
        <v>5600</v>
      </c>
      <c r="AM6" s="81">
        <f>AM12+AM17+AM23</f>
        <v>0</v>
      </c>
      <c r="AN6" s="88">
        <f>AM6/AL6</f>
        <v>0</v>
      </c>
      <c r="AO6" s="81">
        <f>AO12+AO17+AO23</f>
        <v>6000</v>
      </c>
      <c r="AP6" s="81">
        <f>AP12+AP17+AP23</f>
        <v>0</v>
      </c>
      <c r="AQ6" s="88">
        <f>AP6/AO6</f>
        <v>0</v>
      </c>
      <c r="AR6" s="81">
        <f>AR12+AR17+AR23</f>
        <v>34800</v>
      </c>
      <c r="AS6" s="81">
        <f>AS12+AS17+AS23</f>
        <v>0</v>
      </c>
      <c r="AT6" s="88">
        <f>AS6/AR6</f>
        <v>0</v>
      </c>
      <c r="AU6" s="81">
        <f>AU12+AU17+AU23</f>
        <v>69600</v>
      </c>
      <c r="AV6" s="81">
        <f>AV12+AV17+AV23</f>
        <v>25815.7</v>
      </c>
      <c r="AW6" s="100">
        <f>AV6/AU6</f>
        <v>0.37091522988505748</v>
      </c>
      <c r="AX6" s="65"/>
      <c r="AY6" s="65"/>
      <c r="AZ6" s="65"/>
      <c r="BA6" s="65"/>
    </row>
    <row r="7" spans="1:53" ht="80.25" customHeight="1">
      <c r="B7" s="214" t="s">
        <v>55</v>
      </c>
      <c r="C7" s="215"/>
      <c r="D7" s="216"/>
      <c r="E7" s="78" t="s">
        <v>5</v>
      </c>
      <c r="F7" s="95" t="s">
        <v>4</v>
      </c>
      <c r="G7" s="111" t="s">
        <v>56</v>
      </c>
      <c r="H7" s="74" t="s">
        <v>5</v>
      </c>
      <c r="I7" s="68" t="s">
        <v>4</v>
      </c>
      <c r="J7" s="111" t="s">
        <v>56</v>
      </c>
      <c r="K7" s="68" t="s">
        <v>5</v>
      </c>
      <c r="L7" s="68" t="s">
        <v>4</v>
      </c>
      <c r="M7" s="111" t="s">
        <v>56</v>
      </c>
      <c r="N7" s="68" t="s">
        <v>5</v>
      </c>
      <c r="O7" s="68" t="s">
        <v>4</v>
      </c>
      <c r="P7" s="111" t="s">
        <v>56</v>
      </c>
      <c r="Q7" s="78" t="s">
        <v>5</v>
      </c>
      <c r="R7" s="68" t="s">
        <v>4</v>
      </c>
      <c r="S7" s="111" t="s">
        <v>56</v>
      </c>
      <c r="T7" s="68" t="s">
        <v>5</v>
      </c>
      <c r="U7" s="68" t="s">
        <v>4</v>
      </c>
      <c r="V7" s="111" t="s">
        <v>56</v>
      </c>
      <c r="W7" s="68" t="s">
        <v>5</v>
      </c>
      <c r="X7" s="68" t="s">
        <v>4</v>
      </c>
      <c r="Y7" s="111" t="s">
        <v>56</v>
      </c>
      <c r="Z7" s="68" t="s">
        <v>5</v>
      </c>
      <c r="AA7" s="68" t="s">
        <v>4</v>
      </c>
      <c r="AB7" s="111" t="s">
        <v>56</v>
      </c>
      <c r="AC7" s="68" t="s">
        <v>5</v>
      </c>
      <c r="AD7" s="68" t="s">
        <v>4</v>
      </c>
      <c r="AE7" s="111" t="s">
        <v>56</v>
      </c>
      <c r="AF7" s="68" t="s">
        <v>5</v>
      </c>
      <c r="AG7" s="68" t="s">
        <v>4</v>
      </c>
      <c r="AH7" s="111" t="s">
        <v>56</v>
      </c>
      <c r="AI7" s="68" t="s">
        <v>5</v>
      </c>
      <c r="AJ7" s="68" t="s">
        <v>4</v>
      </c>
      <c r="AK7" s="111" t="s">
        <v>56</v>
      </c>
      <c r="AL7" s="68" t="s">
        <v>5</v>
      </c>
      <c r="AM7" s="68" t="s">
        <v>4</v>
      </c>
      <c r="AN7" s="111" t="s">
        <v>56</v>
      </c>
      <c r="AO7" s="68" t="s">
        <v>5</v>
      </c>
      <c r="AP7" s="68" t="s">
        <v>4</v>
      </c>
      <c r="AQ7" s="111" t="s">
        <v>56</v>
      </c>
      <c r="AR7" s="68" t="s">
        <v>5</v>
      </c>
      <c r="AS7" s="68" t="s">
        <v>4</v>
      </c>
      <c r="AT7" s="111" t="s">
        <v>56</v>
      </c>
      <c r="AU7" s="68" t="s">
        <v>5</v>
      </c>
      <c r="AV7" s="68" t="s">
        <v>4</v>
      </c>
      <c r="AW7" s="111" t="s">
        <v>56</v>
      </c>
      <c r="AX7" s="65"/>
      <c r="AY7" s="65"/>
      <c r="BA7" s="54"/>
    </row>
    <row r="8" spans="1:53" ht="80.25" customHeight="1">
      <c r="B8" s="201" t="s">
        <v>0</v>
      </c>
      <c r="C8" s="202"/>
      <c r="D8" s="203"/>
      <c r="E8" s="76">
        <v>900</v>
      </c>
      <c r="F8" s="89">
        <v>400</v>
      </c>
      <c r="G8" s="96">
        <f>F8/E8</f>
        <v>0.44444444444444442</v>
      </c>
      <c r="H8" s="72">
        <v>900</v>
      </c>
      <c r="I8" s="67">
        <v>0</v>
      </c>
      <c r="J8" s="96">
        <f>I8/H8</f>
        <v>0</v>
      </c>
      <c r="K8" s="67">
        <v>900</v>
      </c>
      <c r="L8" s="67">
        <v>0</v>
      </c>
      <c r="M8" s="96">
        <f>L8/K8</f>
        <v>0</v>
      </c>
      <c r="N8" s="67">
        <v>900</v>
      </c>
      <c r="O8" s="67">
        <v>0</v>
      </c>
      <c r="P8" s="96">
        <f>O8/N8</f>
        <v>0</v>
      </c>
      <c r="Q8" s="76">
        <v>900</v>
      </c>
      <c r="R8" s="67">
        <v>414</v>
      </c>
      <c r="S8" s="96">
        <f>R8/Q8</f>
        <v>0.46</v>
      </c>
      <c r="T8" s="67">
        <v>900</v>
      </c>
      <c r="U8" s="67">
        <v>0</v>
      </c>
      <c r="V8" s="96">
        <f>U8/T8</f>
        <v>0</v>
      </c>
      <c r="W8" s="67">
        <f t="shared" ref="W8:X10" si="0">E8+H8+K8+N8+Q8+T8</f>
        <v>5400</v>
      </c>
      <c r="X8" s="67">
        <f t="shared" si="0"/>
        <v>814</v>
      </c>
      <c r="Y8" s="96">
        <f>X8/W8</f>
        <v>0.15074074074074073</v>
      </c>
      <c r="Z8" s="67">
        <v>900</v>
      </c>
      <c r="AA8" s="67"/>
      <c r="AB8" s="96">
        <f>AA8/Z8</f>
        <v>0</v>
      </c>
      <c r="AC8" s="67">
        <v>900</v>
      </c>
      <c r="AD8" s="67"/>
      <c r="AE8" s="96">
        <f>AD8/AC8</f>
        <v>0</v>
      </c>
      <c r="AF8" s="67">
        <v>900</v>
      </c>
      <c r="AG8" s="67"/>
      <c r="AH8" s="96">
        <f>AG8/AF8</f>
        <v>0</v>
      </c>
      <c r="AI8" s="67">
        <v>900</v>
      </c>
      <c r="AJ8" s="67"/>
      <c r="AK8" s="96">
        <f>AJ8/AI8</f>
        <v>0</v>
      </c>
      <c r="AL8" s="67">
        <v>900</v>
      </c>
      <c r="AM8" s="67"/>
      <c r="AN8" s="96">
        <f>AM8/AL8</f>
        <v>0</v>
      </c>
      <c r="AO8" s="67">
        <v>900</v>
      </c>
      <c r="AP8" s="67"/>
      <c r="AQ8" s="96">
        <f>AP8/AO8</f>
        <v>0</v>
      </c>
      <c r="AR8" s="67">
        <f>SUM(Z8:AP8)</f>
        <v>5400</v>
      </c>
      <c r="AS8" s="67">
        <f>AA8+AD8+AG8+AJ8+AM8+AP8</f>
        <v>0</v>
      </c>
      <c r="AT8" s="96">
        <f>AS8/AR8</f>
        <v>0</v>
      </c>
      <c r="AU8" s="67">
        <f t="shared" ref="AU8:AV11" si="1">W8+AR8</f>
        <v>10800</v>
      </c>
      <c r="AV8" s="67">
        <f t="shared" si="1"/>
        <v>814</v>
      </c>
      <c r="AW8" s="101">
        <f>AV8/AU8</f>
        <v>7.5370370370370365E-2</v>
      </c>
      <c r="AX8" s="191"/>
      <c r="BA8" s="54"/>
    </row>
    <row r="9" spans="1:53" ht="80.25" customHeight="1">
      <c r="B9" s="201" t="s">
        <v>3</v>
      </c>
      <c r="C9" s="202"/>
      <c r="D9" s="203"/>
      <c r="E9" s="76">
        <v>200</v>
      </c>
      <c r="F9" s="67">
        <v>0</v>
      </c>
      <c r="G9" s="96">
        <f>F9/E9</f>
        <v>0</v>
      </c>
      <c r="H9" s="72">
        <v>200</v>
      </c>
      <c r="I9" s="67">
        <v>200</v>
      </c>
      <c r="J9" s="96">
        <f>I9/H9</f>
        <v>1</v>
      </c>
      <c r="K9" s="67">
        <v>200</v>
      </c>
      <c r="L9" s="67">
        <v>0</v>
      </c>
      <c r="M9" s="96">
        <f>L9/K9</f>
        <v>0</v>
      </c>
      <c r="N9" s="67">
        <v>200</v>
      </c>
      <c r="O9" s="67">
        <v>0</v>
      </c>
      <c r="P9" s="96">
        <f>O9/N9</f>
        <v>0</v>
      </c>
      <c r="Q9" s="76">
        <v>200</v>
      </c>
      <c r="R9" s="67">
        <v>0</v>
      </c>
      <c r="S9" s="96">
        <f>R9/Q9</f>
        <v>0</v>
      </c>
      <c r="T9" s="67">
        <v>200</v>
      </c>
      <c r="U9" s="67">
        <v>0</v>
      </c>
      <c r="V9" s="96">
        <f>U9/T9</f>
        <v>0</v>
      </c>
      <c r="W9" s="67">
        <f t="shared" si="0"/>
        <v>1200</v>
      </c>
      <c r="X9" s="67">
        <f t="shared" si="0"/>
        <v>200</v>
      </c>
      <c r="Y9" s="96">
        <f>X9/W9</f>
        <v>0.16666666666666666</v>
      </c>
      <c r="Z9" s="67">
        <v>200</v>
      </c>
      <c r="AA9" s="67"/>
      <c r="AB9" s="96">
        <f>AA9/Z9</f>
        <v>0</v>
      </c>
      <c r="AC9" s="67">
        <v>200</v>
      </c>
      <c r="AD9" s="67"/>
      <c r="AE9" s="96">
        <f>AD9/AC9</f>
        <v>0</v>
      </c>
      <c r="AF9" s="67">
        <v>200</v>
      </c>
      <c r="AG9" s="67"/>
      <c r="AH9" s="96">
        <f>AG9/AF9</f>
        <v>0</v>
      </c>
      <c r="AI9" s="67">
        <v>200</v>
      </c>
      <c r="AJ9" s="67"/>
      <c r="AK9" s="96">
        <f>AJ9/AI9</f>
        <v>0</v>
      </c>
      <c r="AL9" s="67">
        <v>200</v>
      </c>
      <c r="AM9" s="67"/>
      <c r="AN9" s="96">
        <f>AM9/AL9</f>
        <v>0</v>
      </c>
      <c r="AO9" s="67">
        <v>200</v>
      </c>
      <c r="AP9" s="67"/>
      <c r="AQ9" s="96">
        <f>AP9/AO9</f>
        <v>0</v>
      </c>
      <c r="AR9" s="67">
        <f>Z9+AC9+AF9+AI9+AL9+AO9</f>
        <v>1200</v>
      </c>
      <c r="AS9" s="67">
        <f>AA9+AD9+AG9+AJ9+AM9+AP9</f>
        <v>0</v>
      </c>
      <c r="AT9" s="96">
        <f>AS9/AR9</f>
        <v>0</v>
      </c>
      <c r="AU9" s="67">
        <f t="shared" si="1"/>
        <v>2400</v>
      </c>
      <c r="AV9" s="67">
        <f t="shared" si="1"/>
        <v>200</v>
      </c>
      <c r="AW9" s="101">
        <f>AV9/AU9</f>
        <v>8.3333333333333329E-2</v>
      </c>
      <c r="AX9" s="191"/>
      <c r="BA9" s="54"/>
    </row>
    <row r="10" spans="1:53" ht="80.25" customHeight="1" outlineLevel="1">
      <c r="B10" s="201" t="s">
        <v>2</v>
      </c>
      <c r="C10" s="202"/>
      <c r="D10" s="203"/>
      <c r="E10" s="76"/>
      <c r="F10" s="67">
        <v>60</v>
      </c>
      <c r="G10" s="96" t="e">
        <f>F10/E10</f>
        <v>#DIV/0!</v>
      </c>
      <c r="H10" s="72"/>
      <c r="I10" s="67">
        <v>0</v>
      </c>
      <c r="J10" s="96" t="e">
        <f>I10/H10</f>
        <v>#DIV/0!</v>
      </c>
      <c r="K10" s="67"/>
      <c r="L10" s="67">
        <v>30</v>
      </c>
      <c r="M10" s="96" t="e">
        <f>L10/K10</f>
        <v>#DIV/0!</v>
      </c>
      <c r="N10" s="67"/>
      <c r="O10" s="67">
        <v>180</v>
      </c>
      <c r="P10" s="96" t="e">
        <f>O10/N10</f>
        <v>#DIV/0!</v>
      </c>
      <c r="Q10" s="76"/>
      <c r="R10" s="67">
        <v>0</v>
      </c>
      <c r="S10" s="96" t="e">
        <f>R10/Q10</f>
        <v>#DIV/0!</v>
      </c>
      <c r="T10" s="67"/>
      <c r="U10" s="67">
        <v>0</v>
      </c>
      <c r="V10" s="96" t="e">
        <f>U10/T10</f>
        <v>#DIV/0!</v>
      </c>
      <c r="W10" s="67">
        <f t="shared" si="0"/>
        <v>0</v>
      </c>
      <c r="X10" s="67">
        <f t="shared" si="0"/>
        <v>270</v>
      </c>
      <c r="Y10" s="96" t="e">
        <f>X10/W10</f>
        <v>#DIV/0!</v>
      </c>
      <c r="Z10" s="67"/>
      <c r="AA10" s="67"/>
      <c r="AB10" s="96" t="e">
        <f>AA10/Z10</f>
        <v>#DIV/0!</v>
      </c>
      <c r="AC10" s="67"/>
      <c r="AD10" s="67"/>
      <c r="AE10" s="96" t="e">
        <f>AD10/AC10</f>
        <v>#DIV/0!</v>
      </c>
      <c r="AF10" s="67"/>
      <c r="AG10" s="67"/>
      <c r="AH10" s="96" t="e">
        <f>AG10/AF10</f>
        <v>#DIV/0!</v>
      </c>
      <c r="AI10" s="67"/>
      <c r="AJ10" s="67"/>
      <c r="AK10" s="96" t="e">
        <f>AJ10/AI10</f>
        <v>#DIV/0!</v>
      </c>
      <c r="AL10" s="67"/>
      <c r="AM10" s="67"/>
      <c r="AN10" s="96" t="e">
        <f>AM10/AL10</f>
        <v>#DIV/0!</v>
      </c>
      <c r="AO10" s="67"/>
      <c r="AP10" s="67"/>
      <c r="AQ10" s="96" t="e">
        <f>AP10/AO10</f>
        <v>#DIV/0!</v>
      </c>
      <c r="AR10" s="67">
        <f>Z10+AC10+AF10+AI10+AL10+AO10</f>
        <v>0</v>
      </c>
      <c r="AS10" s="67">
        <f>AA10+AD10+AG10+AJ10+AM10+AP10</f>
        <v>0</v>
      </c>
      <c r="AT10" s="96" t="e">
        <f>AS10/AR10</f>
        <v>#DIV/0!</v>
      </c>
      <c r="AU10" s="67">
        <f t="shared" si="1"/>
        <v>0</v>
      </c>
      <c r="AV10" s="67">
        <f t="shared" si="1"/>
        <v>270</v>
      </c>
      <c r="AW10" s="101" t="e">
        <f>AV10/AU10</f>
        <v>#DIV/0!</v>
      </c>
      <c r="BA10" s="54"/>
    </row>
    <row r="11" spans="1:53" ht="80.25" customHeight="1" outlineLevel="1">
      <c r="B11" s="201" t="s">
        <v>42</v>
      </c>
      <c r="C11" s="202"/>
      <c r="D11" s="203"/>
      <c r="E11" s="77"/>
      <c r="F11" s="67">
        <v>70</v>
      </c>
      <c r="G11" s="96" t="e">
        <f>F11/E11</f>
        <v>#DIV/0!</v>
      </c>
      <c r="H11" s="73"/>
      <c r="I11" s="71">
        <v>65</v>
      </c>
      <c r="J11" s="96" t="e">
        <f>I11/H11</f>
        <v>#DIV/0!</v>
      </c>
      <c r="K11" s="71"/>
      <c r="L11" s="71">
        <v>65</v>
      </c>
      <c r="M11" s="96" t="e">
        <f>L11/K11</f>
        <v>#DIV/0!</v>
      </c>
      <c r="N11" s="71"/>
      <c r="O11" s="71">
        <v>65</v>
      </c>
      <c r="P11" s="96" t="e">
        <f>O11/N11</f>
        <v>#DIV/0!</v>
      </c>
      <c r="Q11" s="77"/>
      <c r="R11" s="71">
        <v>85</v>
      </c>
      <c r="S11" s="96" t="e">
        <f>R11/Q11</f>
        <v>#DIV/0!</v>
      </c>
      <c r="T11" s="71"/>
      <c r="U11" s="71">
        <v>85</v>
      </c>
      <c r="V11" s="96" t="e">
        <f>U11/T11</f>
        <v>#DIV/0!</v>
      </c>
      <c r="W11" s="71"/>
      <c r="X11" s="71">
        <f>F11+I11+L11+O11+R11+U11</f>
        <v>435</v>
      </c>
      <c r="Y11" s="96" t="e">
        <f>X11/W11</f>
        <v>#DIV/0!</v>
      </c>
      <c r="Z11" s="71"/>
      <c r="AA11" s="71"/>
      <c r="AB11" s="96" t="e">
        <f>AA11/Z11</f>
        <v>#DIV/0!</v>
      </c>
      <c r="AC11" s="71"/>
      <c r="AD11" s="71"/>
      <c r="AE11" s="96" t="e">
        <f>AD11/AC11</f>
        <v>#DIV/0!</v>
      </c>
      <c r="AF11" s="71"/>
      <c r="AG11" s="71"/>
      <c r="AH11" s="96" t="e">
        <f>AG11/AF11</f>
        <v>#DIV/0!</v>
      </c>
      <c r="AI11" s="71"/>
      <c r="AJ11" s="71"/>
      <c r="AK11" s="96" t="e">
        <f>AJ11/AI11</f>
        <v>#DIV/0!</v>
      </c>
      <c r="AL11" s="71"/>
      <c r="AM11" s="71"/>
      <c r="AN11" s="96" t="e">
        <f>AM11/AL11</f>
        <v>#DIV/0!</v>
      </c>
      <c r="AO11" s="71"/>
      <c r="AP11" s="71"/>
      <c r="AQ11" s="96" t="e">
        <f>AP11/AO11</f>
        <v>#DIV/0!</v>
      </c>
      <c r="AR11" s="71"/>
      <c r="AS11" s="71">
        <f>AA11+AD11+AG11+AJ11+AM11+AP11</f>
        <v>0</v>
      </c>
      <c r="AT11" s="96" t="e">
        <f>AS11/AR11</f>
        <v>#DIV/0!</v>
      </c>
      <c r="AU11" s="71">
        <f t="shared" si="1"/>
        <v>0</v>
      </c>
      <c r="AV11" s="71">
        <f t="shared" si="1"/>
        <v>435</v>
      </c>
      <c r="AW11" s="101" t="e">
        <f>AV11/AU11</f>
        <v>#DIV/0!</v>
      </c>
      <c r="BA11" s="54"/>
    </row>
    <row r="12" spans="1:53" ht="80.25" customHeight="1">
      <c r="B12" s="241" t="s">
        <v>15</v>
      </c>
      <c r="C12" s="242"/>
      <c r="D12" s="243"/>
      <c r="E12" s="84">
        <f t="shared" ref="E12:Q12" si="2">E8+E9+E10+E11</f>
        <v>1100</v>
      </c>
      <c r="F12" s="90">
        <f>F8+F9+F10+F11</f>
        <v>530</v>
      </c>
      <c r="G12" s="91">
        <f>F12/E12</f>
        <v>0.48181818181818181</v>
      </c>
      <c r="H12" s="85">
        <f t="shared" si="2"/>
        <v>1100</v>
      </c>
      <c r="I12" s="86">
        <f t="shared" si="2"/>
        <v>265</v>
      </c>
      <c r="J12" s="91">
        <f>I12/H12</f>
        <v>0.24090909090909091</v>
      </c>
      <c r="K12" s="86">
        <f t="shared" si="2"/>
        <v>1100</v>
      </c>
      <c r="L12" s="86">
        <f>L8+L9+L10+L11</f>
        <v>95</v>
      </c>
      <c r="M12" s="91">
        <f>L12/K12</f>
        <v>8.6363636363636365E-2</v>
      </c>
      <c r="N12" s="86">
        <f t="shared" si="2"/>
        <v>1100</v>
      </c>
      <c r="O12" s="86">
        <f t="shared" si="2"/>
        <v>245</v>
      </c>
      <c r="P12" s="91">
        <f>O12/N12</f>
        <v>0.22272727272727272</v>
      </c>
      <c r="Q12" s="84">
        <f t="shared" si="2"/>
        <v>1100</v>
      </c>
      <c r="R12" s="86">
        <f>R8+R9+R10+R11</f>
        <v>499</v>
      </c>
      <c r="S12" s="91">
        <f>R12/Q12</f>
        <v>0.45363636363636362</v>
      </c>
      <c r="T12" s="86">
        <f t="shared" ref="T12" si="3">T8+T9+T10</f>
        <v>1100</v>
      </c>
      <c r="U12" s="86">
        <f>U8+U9+U10+U11</f>
        <v>85</v>
      </c>
      <c r="V12" s="91">
        <f>U12/T12</f>
        <v>7.7272727272727271E-2</v>
      </c>
      <c r="W12" s="86">
        <f t="shared" ref="W12:AV12" si="4">W8+W9+W10+W11</f>
        <v>6600</v>
      </c>
      <c r="X12" s="86">
        <f>X8+X9+X10+X11</f>
        <v>1719</v>
      </c>
      <c r="Y12" s="96">
        <f>X12/W12</f>
        <v>0.26045454545454544</v>
      </c>
      <c r="Z12" s="86">
        <f t="shared" si="4"/>
        <v>1100</v>
      </c>
      <c r="AA12" s="86">
        <f t="shared" si="4"/>
        <v>0</v>
      </c>
      <c r="AB12" s="91">
        <f>AA12/Z12</f>
        <v>0</v>
      </c>
      <c r="AC12" s="86">
        <f t="shared" si="4"/>
        <v>1100</v>
      </c>
      <c r="AD12" s="86">
        <f t="shared" si="4"/>
        <v>0</v>
      </c>
      <c r="AE12" s="91">
        <f>AD12/AC12</f>
        <v>0</v>
      </c>
      <c r="AF12" s="86">
        <f t="shared" si="4"/>
        <v>1100</v>
      </c>
      <c r="AG12" s="86">
        <f t="shared" si="4"/>
        <v>0</v>
      </c>
      <c r="AH12" s="91">
        <f>AG12/AF12</f>
        <v>0</v>
      </c>
      <c r="AI12" s="86">
        <f t="shared" si="4"/>
        <v>1100</v>
      </c>
      <c r="AJ12" s="86">
        <f t="shared" si="4"/>
        <v>0</v>
      </c>
      <c r="AK12" s="91">
        <f>AJ12/AI12</f>
        <v>0</v>
      </c>
      <c r="AL12" s="86">
        <f t="shared" si="4"/>
        <v>1100</v>
      </c>
      <c r="AM12" s="86">
        <f t="shared" si="4"/>
        <v>0</v>
      </c>
      <c r="AN12" s="91">
        <f>AM12/AL12</f>
        <v>0</v>
      </c>
      <c r="AO12" s="86">
        <f t="shared" si="4"/>
        <v>1100</v>
      </c>
      <c r="AP12" s="86">
        <f t="shared" si="4"/>
        <v>0</v>
      </c>
      <c r="AQ12" s="91">
        <f>AP12/AO12</f>
        <v>0</v>
      </c>
      <c r="AR12" s="86">
        <f t="shared" si="4"/>
        <v>6600</v>
      </c>
      <c r="AS12" s="86">
        <f>AS8+AS9+AS10+AS11</f>
        <v>0</v>
      </c>
      <c r="AT12" s="96">
        <f>AS12/AR12</f>
        <v>0</v>
      </c>
      <c r="AU12" s="86">
        <f t="shared" si="4"/>
        <v>13200</v>
      </c>
      <c r="AV12" s="86">
        <f t="shared" si="4"/>
        <v>1719</v>
      </c>
      <c r="AW12" s="101">
        <f>AV12/AU12</f>
        <v>0.13022727272727272</v>
      </c>
      <c r="AX12" s="191"/>
      <c r="AY12" s="191"/>
      <c r="BA12" s="54"/>
    </row>
    <row r="13" spans="1:53" ht="80.25" customHeight="1" outlineLevel="1">
      <c r="B13" s="244" t="s">
        <v>8</v>
      </c>
      <c r="C13" s="245"/>
      <c r="D13" s="246"/>
      <c r="E13" s="106" t="s">
        <v>5</v>
      </c>
      <c r="F13" s="107" t="s">
        <v>4</v>
      </c>
      <c r="G13" s="108" t="s">
        <v>56</v>
      </c>
      <c r="H13" s="109" t="s">
        <v>5</v>
      </c>
      <c r="I13" s="110" t="s">
        <v>4</v>
      </c>
      <c r="J13" s="108" t="s">
        <v>56</v>
      </c>
      <c r="K13" s="110" t="s">
        <v>5</v>
      </c>
      <c r="L13" s="110" t="s">
        <v>4</v>
      </c>
      <c r="M13" s="108" t="s">
        <v>56</v>
      </c>
      <c r="N13" s="110" t="s">
        <v>5</v>
      </c>
      <c r="O13" s="110" t="s">
        <v>4</v>
      </c>
      <c r="P13" s="108" t="s">
        <v>56</v>
      </c>
      <c r="Q13" s="106" t="s">
        <v>5</v>
      </c>
      <c r="R13" s="110" t="s">
        <v>4</v>
      </c>
      <c r="S13" s="108" t="s">
        <v>56</v>
      </c>
      <c r="T13" s="110" t="s">
        <v>5</v>
      </c>
      <c r="U13" s="110" t="s">
        <v>4</v>
      </c>
      <c r="V13" s="108" t="s">
        <v>56</v>
      </c>
      <c r="W13" s="110" t="s">
        <v>5</v>
      </c>
      <c r="X13" s="110" t="s">
        <v>4</v>
      </c>
      <c r="Y13" s="108" t="s">
        <v>56</v>
      </c>
      <c r="Z13" s="110" t="s">
        <v>5</v>
      </c>
      <c r="AA13" s="110" t="s">
        <v>4</v>
      </c>
      <c r="AB13" s="108" t="s">
        <v>56</v>
      </c>
      <c r="AC13" s="110" t="s">
        <v>5</v>
      </c>
      <c r="AD13" s="110" t="s">
        <v>4</v>
      </c>
      <c r="AE13" s="108" t="s">
        <v>56</v>
      </c>
      <c r="AF13" s="110" t="s">
        <v>5</v>
      </c>
      <c r="AG13" s="110" t="s">
        <v>4</v>
      </c>
      <c r="AH13" s="108" t="s">
        <v>56</v>
      </c>
      <c r="AI13" s="110" t="s">
        <v>5</v>
      </c>
      <c r="AJ13" s="110" t="s">
        <v>4</v>
      </c>
      <c r="AK13" s="108" t="s">
        <v>56</v>
      </c>
      <c r="AL13" s="110" t="s">
        <v>5</v>
      </c>
      <c r="AM13" s="110" t="s">
        <v>4</v>
      </c>
      <c r="AN13" s="108" t="s">
        <v>56</v>
      </c>
      <c r="AO13" s="110" t="s">
        <v>5</v>
      </c>
      <c r="AP13" s="110" t="s">
        <v>4</v>
      </c>
      <c r="AQ13" s="108" t="s">
        <v>56</v>
      </c>
      <c r="AR13" s="110" t="s">
        <v>5</v>
      </c>
      <c r="AS13" s="110" t="s">
        <v>4</v>
      </c>
      <c r="AT13" s="108" t="s">
        <v>56</v>
      </c>
      <c r="AU13" s="110" t="s">
        <v>5</v>
      </c>
      <c r="AV13" s="110" t="s">
        <v>4</v>
      </c>
      <c r="AW13" s="108" t="s">
        <v>56</v>
      </c>
      <c r="BA13" s="54"/>
    </row>
    <row r="14" spans="1:53" ht="80.25" customHeight="1">
      <c r="B14" s="207" t="s">
        <v>7</v>
      </c>
      <c r="C14" s="208"/>
      <c r="D14" s="209"/>
      <c r="E14" s="79">
        <v>0</v>
      </c>
      <c r="F14" s="70">
        <v>87.9</v>
      </c>
      <c r="G14" s="96" t="e">
        <f>F14/E14</f>
        <v>#DIV/0!</v>
      </c>
      <c r="H14" s="75">
        <v>400</v>
      </c>
      <c r="I14" s="70">
        <v>149.4</v>
      </c>
      <c r="J14" s="96">
        <f>I14/H14</f>
        <v>0.3735</v>
      </c>
      <c r="K14" s="70">
        <v>0</v>
      </c>
      <c r="L14" s="70">
        <v>67.2</v>
      </c>
      <c r="M14" s="96" t="e">
        <f>L14/K14</f>
        <v>#DIV/0!</v>
      </c>
      <c r="N14" s="70">
        <v>400</v>
      </c>
      <c r="O14" s="70">
        <v>124.2</v>
      </c>
      <c r="P14" s="96">
        <f>O14/N14</f>
        <v>0.3105</v>
      </c>
      <c r="Q14" s="79">
        <v>0</v>
      </c>
      <c r="R14" s="70">
        <v>186</v>
      </c>
      <c r="S14" s="96" t="e">
        <f>R14/Q14</f>
        <v>#DIV/0!</v>
      </c>
      <c r="T14" s="70">
        <v>400</v>
      </c>
      <c r="U14" s="70">
        <v>82</v>
      </c>
      <c r="V14" s="96">
        <f>U14/T14</f>
        <v>0.20499999999999999</v>
      </c>
      <c r="W14" s="70">
        <f t="shared" ref="W14:X16" si="5">E14+H14+K14+N14+Q14+T14</f>
        <v>1200</v>
      </c>
      <c r="X14" s="70">
        <f t="shared" si="5"/>
        <v>696.7</v>
      </c>
      <c r="Y14" s="96">
        <f>X14/W14</f>
        <v>0.58058333333333334</v>
      </c>
      <c r="Z14" s="70">
        <v>0</v>
      </c>
      <c r="AA14" s="70"/>
      <c r="AB14" s="96" t="e">
        <f>AA14/Z14</f>
        <v>#DIV/0!</v>
      </c>
      <c r="AC14" s="70">
        <v>400</v>
      </c>
      <c r="AD14" s="70"/>
      <c r="AE14" s="96">
        <f>AD14/AC14</f>
        <v>0</v>
      </c>
      <c r="AF14" s="70">
        <v>0</v>
      </c>
      <c r="AG14" s="70"/>
      <c r="AH14" s="96" t="e">
        <f>AG14/AF14</f>
        <v>#DIV/0!</v>
      </c>
      <c r="AI14" s="70">
        <v>400</v>
      </c>
      <c r="AJ14" s="70"/>
      <c r="AK14" s="96">
        <f>AJ14/AI14</f>
        <v>0</v>
      </c>
      <c r="AL14" s="70">
        <v>0</v>
      </c>
      <c r="AM14" s="70"/>
      <c r="AN14" s="96" t="e">
        <f>AM14/AL14</f>
        <v>#DIV/0!</v>
      </c>
      <c r="AO14" s="70">
        <v>400</v>
      </c>
      <c r="AP14" s="70"/>
      <c r="AQ14" s="96">
        <f>AP14/AO14</f>
        <v>0</v>
      </c>
      <c r="AR14" s="70">
        <f t="shared" ref="AR14:AS16" si="6">Z14+AC14+AF14+AI14+AL14+AO14</f>
        <v>1200</v>
      </c>
      <c r="AS14" s="70">
        <f t="shared" si="6"/>
        <v>0</v>
      </c>
      <c r="AT14" s="96">
        <f>AS14/AR14</f>
        <v>0</v>
      </c>
      <c r="AU14" s="70">
        <f t="shared" ref="AU14:AV16" si="7">W14+AR14</f>
        <v>2400</v>
      </c>
      <c r="AV14" s="70">
        <f t="shared" si="7"/>
        <v>696.7</v>
      </c>
      <c r="AW14" s="101">
        <f>AV14/AU14</f>
        <v>0.29029166666666667</v>
      </c>
      <c r="AX14" s="191"/>
      <c r="BA14" s="54"/>
    </row>
    <row r="15" spans="1:53" ht="80.25" customHeight="1">
      <c r="B15" s="201" t="s">
        <v>1</v>
      </c>
      <c r="C15" s="202"/>
      <c r="D15" s="203"/>
      <c r="E15" s="76">
        <v>0</v>
      </c>
      <c r="F15" s="67"/>
      <c r="G15" s="96" t="e">
        <f>F15/E15</f>
        <v>#DIV/0!</v>
      </c>
      <c r="H15" s="72">
        <v>0</v>
      </c>
      <c r="I15" s="67">
        <v>0</v>
      </c>
      <c r="J15" s="96" t="e">
        <f>I15/H15</f>
        <v>#DIV/0!</v>
      </c>
      <c r="K15" s="67">
        <v>0</v>
      </c>
      <c r="L15" s="67"/>
      <c r="M15" s="96" t="e">
        <f>L15/K15</f>
        <v>#DIV/0!</v>
      </c>
      <c r="N15" s="67">
        <v>0</v>
      </c>
      <c r="O15" s="67"/>
      <c r="P15" s="96" t="e">
        <f>O15/N15</f>
        <v>#DIV/0!</v>
      </c>
      <c r="Q15" s="76">
        <v>0</v>
      </c>
      <c r="R15" s="67">
        <v>0</v>
      </c>
      <c r="S15" s="96" t="e">
        <f>R15/Q15</f>
        <v>#DIV/0!</v>
      </c>
      <c r="T15" s="67">
        <v>0</v>
      </c>
      <c r="U15" s="67">
        <v>0</v>
      </c>
      <c r="V15" s="96" t="e">
        <f>U15/T15</f>
        <v>#DIV/0!</v>
      </c>
      <c r="W15" s="67">
        <f t="shared" si="5"/>
        <v>0</v>
      </c>
      <c r="X15" s="67">
        <f t="shared" si="5"/>
        <v>0</v>
      </c>
      <c r="Y15" s="96" t="e">
        <f>X15/W15</f>
        <v>#DIV/0!</v>
      </c>
      <c r="Z15" s="67">
        <v>0</v>
      </c>
      <c r="AA15" s="67"/>
      <c r="AB15" s="96" t="e">
        <f>AA15/Z15</f>
        <v>#DIV/0!</v>
      </c>
      <c r="AC15" s="67">
        <v>0</v>
      </c>
      <c r="AD15" s="67"/>
      <c r="AE15" s="96" t="e">
        <f>AD15/AC15</f>
        <v>#DIV/0!</v>
      </c>
      <c r="AF15" s="67">
        <v>0</v>
      </c>
      <c r="AG15" s="67"/>
      <c r="AH15" s="96" t="e">
        <f>AG15/AF15</f>
        <v>#DIV/0!</v>
      </c>
      <c r="AI15" s="67">
        <v>0</v>
      </c>
      <c r="AJ15" s="67"/>
      <c r="AK15" s="96" t="e">
        <f>AJ15/AI15</f>
        <v>#DIV/0!</v>
      </c>
      <c r="AL15" s="67">
        <v>0</v>
      </c>
      <c r="AM15" s="67"/>
      <c r="AN15" s="96" t="e">
        <f>AM15/AL15</f>
        <v>#DIV/0!</v>
      </c>
      <c r="AO15" s="67">
        <v>0</v>
      </c>
      <c r="AP15" s="67"/>
      <c r="AQ15" s="96" t="e">
        <f>AP15/AO15</f>
        <v>#DIV/0!</v>
      </c>
      <c r="AR15" s="67">
        <f t="shared" si="6"/>
        <v>0</v>
      </c>
      <c r="AS15" s="67">
        <f t="shared" si="6"/>
        <v>0</v>
      </c>
      <c r="AT15" s="96" t="e">
        <f>AS15/AR15</f>
        <v>#DIV/0!</v>
      </c>
      <c r="AU15" s="67">
        <f t="shared" si="7"/>
        <v>0</v>
      </c>
      <c r="AV15" s="67">
        <f t="shared" si="7"/>
        <v>0</v>
      </c>
      <c r="AW15" s="101" t="e">
        <f>AV15/AU15</f>
        <v>#DIV/0!</v>
      </c>
      <c r="AX15" s="191"/>
      <c r="BA15" s="54"/>
    </row>
    <row r="16" spans="1:53" ht="80.25" customHeight="1">
      <c r="B16" s="201" t="s">
        <v>16</v>
      </c>
      <c r="C16" s="202"/>
      <c r="D16" s="203"/>
      <c r="E16" s="76">
        <v>0</v>
      </c>
      <c r="F16" s="67"/>
      <c r="G16" s="96" t="e">
        <f>F16/E16</f>
        <v>#DIV/0!</v>
      </c>
      <c r="H16" s="72">
        <v>0</v>
      </c>
      <c r="I16" s="67">
        <v>0</v>
      </c>
      <c r="J16" s="96" t="e">
        <f>I16/H16</f>
        <v>#DIV/0!</v>
      </c>
      <c r="K16" s="67">
        <v>0</v>
      </c>
      <c r="L16" s="67"/>
      <c r="M16" s="96" t="e">
        <f>L16/K16</f>
        <v>#DIV/0!</v>
      </c>
      <c r="N16" s="67">
        <v>0</v>
      </c>
      <c r="O16" s="67"/>
      <c r="P16" s="96" t="e">
        <f>O16/N16</f>
        <v>#DIV/0!</v>
      </c>
      <c r="Q16" s="76">
        <v>0</v>
      </c>
      <c r="R16" s="67">
        <v>0</v>
      </c>
      <c r="S16" s="96" t="e">
        <f>R16/Q16</f>
        <v>#DIV/0!</v>
      </c>
      <c r="T16" s="67">
        <v>0</v>
      </c>
      <c r="U16" s="67">
        <v>0</v>
      </c>
      <c r="V16" s="96" t="e">
        <f>U16/T16</f>
        <v>#DIV/0!</v>
      </c>
      <c r="W16" s="67">
        <f t="shared" si="5"/>
        <v>0</v>
      </c>
      <c r="X16" s="67">
        <f t="shared" si="5"/>
        <v>0</v>
      </c>
      <c r="Y16" s="96" t="e">
        <f>X16/W16</f>
        <v>#DIV/0!</v>
      </c>
      <c r="Z16" s="67">
        <v>0</v>
      </c>
      <c r="AA16" s="67"/>
      <c r="AB16" s="96" t="e">
        <f>AA16/Z16</f>
        <v>#DIV/0!</v>
      </c>
      <c r="AC16" s="67">
        <v>0</v>
      </c>
      <c r="AD16" s="67"/>
      <c r="AE16" s="96" t="e">
        <f>AD16/AC16</f>
        <v>#DIV/0!</v>
      </c>
      <c r="AF16" s="67">
        <v>0</v>
      </c>
      <c r="AG16" s="67"/>
      <c r="AH16" s="96" t="e">
        <f>AG16/AF16</f>
        <v>#DIV/0!</v>
      </c>
      <c r="AI16" s="67">
        <v>0</v>
      </c>
      <c r="AJ16" s="67"/>
      <c r="AK16" s="96" t="e">
        <f>AJ16/AI16</f>
        <v>#DIV/0!</v>
      </c>
      <c r="AL16" s="67">
        <v>0</v>
      </c>
      <c r="AM16" s="67"/>
      <c r="AN16" s="96" t="e">
        <f>AM16/AL16</f>
        <v>#DIV/0!</v>
      </c>
      <c r="AO16" s="67">
        <v>0</v>
      </c>
      <c r="AP16" s="67"/>
      <c r="AQ16" s="96" t="e">
        <f>AP16/AO16</f>
        <v>#DIV/0!</v>
      </c>
      <c r="AR16" s="67">
        <f t="shared" si="6"/>
        <v>0</v>
      </c>
      <c r="AS16" s="67">
        <f t="shared" si="6"/>
        <v>0</v>
      </c>
      <c r="AT16" s="96" t="e">
        <f>AS16/AR16</f>
        <v>#DIV/0!</v>
      </c>
      <c r="AU16" s="67">
        <f t="shared" si="7"/>
        <v>0</v>
      </c>
      <c r="AV16" s="67">
        <f t="shared" si="7"/>
        <v>0</v>
      </c>
      <c r="AW16" s="101" t="e">
        <f>AV16/AU16</f>
        <v>#DIV/0!</v>
      </c>
      <c r="AX16" s="191"/>
      <c r="BA16" s="54"/>
    </row>
    <row r="17" spans="1:59" ht="80.25" customHeight="1">
      <c r="B17" s="250" t="s">
        <v>15</v>
      </c>
      <c r="C17" s="251"/>
      <c r="D17" s="252"/>
      <c r="E17" s="84">
        <f t="shared" ref="E17:AV17" si="8">SUM(E14:E16)</f>
        <v>0</v>
      </c>
      <c r="F17" s="86">
        <f t="shared" si="8"/>
        <v>87.9</v>
      </c>
      <c r="G17" s="96" t="e">
        <f>F17/E17</f>
        <v>#DIV/0!</v>
      </c>
      <c r="H17" s="85">
        <f t="shared" si="8"/>
        <v>400</v>
      </c>
      <c r="I17" s="86">
        <f t="shared" si="8"/>
        <v>149.4</v>
      </c>
      <c r="J17" s="96">
        <f>I17/H17</f>
        <v>0.3735</v>
      </c>
      <c r="K17" s="86">
        <f t="shared" si="8"/>
        <v>0</v>
      </c>
      <c r="L17" s="86">
        <f t="shared" si="8"/>
        <v>67.2</v>
      </c>
      <c r="M17" s="96" t="e">
        <f>L17/K17</f>
        <v>#DIV/0!</v>
      </c>
      <c r="N17" s="86">
        <f t="shared" si="8"/>
        <v>400</v>
      </c>
      <c r="O17" s="86">
        <f t="shared" si="8"/>
        <v>124.2</v>
      </c>
      <c r="P17" s="96">
        <f>O17/N17</f>
        <v>0.3105</v>
      </c>
      <c r="Q17" s="84">
        <f t="shared" si="8"/>
        <v>0</v>
      </c>
      <c r="R17" s="86">
        <f t="shared" si="8"/>
        <v>186</v>
      </c>
      <c r="S17" s="96" t="e">
        <f>R17/Q17</f>
        <v>#DIV/0!</v>
      </c>
      <c r="T17" s="86">
        <f t="shared" si="8"/>
        <v>400</v>
      </c>
      <c r="U17" s="86">
        <f t="shared" si="8"/>
        <v>82</v>
      </c>
      <c r="V17" s="96">
        <f>U17/T17</f>
        <v>0.20499999999999999</v>
      </c>
      <c r="W17" s="86">
        <f t="shared" si="8"/>
        <v>1200</v>
      </c>
      <c r="X17" s="86">
        <f t="shared" si="8"/>
        <v>696.7</v>
      </c>
      <c r="Y17" s="96">
        <f>X17/W17</f>
        <v>0.58058333333333334</v>
      </c>
      <c r="Z17" s="86">
        <f t="shared" si="8"/>
        <v>0</v>
      </c>
      <c r="AA17" s="86">
        <f t="shared" si="8"/>
        <v>0</v>
      </c>
      <c r="AB17" s="96" t="e">
        <f>AA17/Z17</f>
        <v>#DIV/0!</v>
      </c>
      <c r="AC17" s="86">
        <f t="shared" si="8"/>
        <v>400</v>
      </c>
      <c r="AD17" s="86">
        <f t="shared" si="8"/>
        <v>0</v>
      </c>
      <c r="AE17" s="96">
        <f>AD17/AC17</f>
        <v>0</v>
      </c>
      <c r="AF17" s="86">
        <f t="shared" si="8"/>
        <v>0</v>
      </c>
      <c r="AG17" s="86">
        <f t="shared" si="8"/>
        <v>0</v>
      </c>
      <c r="AH17" s="96" t="e">
        <f>AG17/AF17</f>
        <v>#DIV/0!</v>
      </c>
      <c r="AI17" s="86">
        <f t="shared" si="8"/>
        <v>400</v>
      </c>
      <c r="AJ17" s="86">
        <f t="shared" si="8"/>
        <v>0</v>
      </c>
      <c r="AK17" s="96">
        <f>AJ17/AI17</f>
        <v>0</v>
      </c>
      <c r="AL17" s="86">
        <f t="shared" si="8"/>
        <v>0</v>
      </c>
      <c r="AM17" s="86">
        <f t="shared" si="8"/>
        <v>0</v>
      </c>
      <c r="AN17" s="96" t="e">
        <f>AM17/AL17</f>
        <v>#DIV/0!</v>
      </c>
      <c r="AO17" s="86">
        <f t="shared" si="8"/>
        <v>400</v>
      </c>
      <c r="AP17" s="86">
        <f t="shared" si="8"/>
        <v>0</v>
      </c>
      <c r="AQ17" s="96">
        <f>AP17/AO17</f>
        <v>0</v>
      </c>
      <c r="AR17" s="86">
        <f t="shared" si="8"/>
        <v>1200</v>
      </c>
      <c r="AS17" s="86">
        <f t="shared" si="8"/>
        <v>0</v>
      </c>
      <c r="AT17" s="96">
        <f>AS17/AR17</f>
        <v>0</v>
      </c>
      <c r="AU17" s="86">
        <f t="shared" si="8"/>
        <v>2400</v>
      </c>
      <c r="AV17" s="86">
        <f t="shared" si="8"/>
        <v>696.7</v>
      </c>
      <c r="AW17" s="101">
        <f>AV17/AU17</f>
        <v>0.29029166666666667</v>
      </c>
      <c r="AX17" s="65"/>
      <c r="AY17" s="65"/>
      <c r="BA17" s="54"/>
    </row>
    <row r="18" spans="1:59" ht="80.25" customHeight="1">
      <c r="B18" s="224" t="s">
        <v>17</v>
      </c>
      <c r="C18" s="225"/>
      <c r="D18" s="226"/>
      <c r="E18" s="112" t="s">
        <v>5</v>
      </c>
      <c r="F18" s="113" t="s">
        <v>4</v>
      </c>
      <c r="G18" s="114" t="s">
        <v>56</v>
      </c>
      <c r="H18" s="115" t="s">
        <v>5</v>
      </c>
      <c r="I18" s="116" t="s">
        <v>4</v>
      </c>
      <c r="J18" s="114" t="s">
        <v>56</v>
      </c>
      <c r="K18" s="116" t="s">
        <v>5</v>
      </c>
      <c r="L18" s="116" t="s">
        <v>4</v>
      </c>
      <c r="M18" s="114" t="s">
        <v>56</v>
      </c>
      <c r="N18" s="116" t="s">
        <v>5</v>
      </c>
      <c r="O18" s="116" t="s">
        <v>4</v>
      </c>
      <c r="P18" s="114" t="s">
        <v>56</v>
      </c>
      <c r="Q18" s="112" t="s">
        <v>5</v>
      </c>
      <c r="R18" s="116" t="s">
        <v>4</v>
      </c>
      <c r="S18" s="114" t="s">
        <v>56</v>
      </c>
      <c r="T18" s="116" t="s">
        <v>5</v>
      </c>
      <c r="U18" s="116" t="s">
        <v>4</v>
      </c>
      <c r="V18" s="114" t="s">
        <v>56</v>
      </c>
      <c r="W18" s="116" t="s">
        <v>5</v>
      </c>
      <c r="X18" s="116" t="s">
        <v>4</v>
      </c>
      <c r="Y18" s="114" t="s">
        <v>56</v>
      </c>
      <c r="Z18" s="116" t="s">
        <v>5</v>
      </c>
      <c r="AA18" s="116" t="s">
        <v>4</v>
      </c>
      <c r="AB18" s="114" t="s">
        <v>56</v>
      </c>
      <c r="AC18" s="116" t="s">
        <v>5</v>
      </c>
      <c r="AD18" s="116" t="s">
        <v>4</v>
      </c>
      <c r="AE18" s="114" t="s">
        <v>56</v>
      </c>
      <c r="AF18" s="116" t="s">
        <v>5</v>
      </c>
      <c r="AG18" s="116" t="s">
        <v>4</v>
      </c>
      <c r="AH18" s="114" t="s">
        <v>56</v>
      </c>
      <c r="AI18" s="116" t="s">
        <v>5</v>
      </c>
      <c r="AJ18" s="116" t="s">
        <v>4</v>
      </c>
      <c r="AK18" s="114" t="s">
        <v>56</v>
      </c>
      <c r="AL18" s="116" t="s">
        <v>5</v>
      </c>
      <c r="AM18" s="116" t="s">
        <v>4</v>
      </c>
      <c r="AN18" s="114" t="s">
        <v>56</v>
      </c>
      <c r="AO18" s="116" t="s">
        <v>5</v>
      </c>
      <c r="AP18" s="116" t="s">
        <v>4</v>
      </c>
      <c r="AQ18" s="114" t="s">
        <v>56</v>
      </c>
      <c r="AR18" s="116" t="s">
        <v>5</v>
      </c>
      <c r="AS18" s="116" t="s">
        <v>4</v>
      </c>
      <c r="AT18" s="114" t="s">
        <v>56</v>
      </c>
      <c r="AU18" s="116" t="s">
        <v>5</v>
      </c>
      <c r="AV18" s="116" t="s">
        <v>4</v>
      </c>
      <c r="AW18" s="114" t="s">
        <v>56</v>
      </c>
      <c r="AX18" s="65"/>
      <c r="AY18" s="65"/>
      <c r="BA18" s="54"/>
    </row>
    <row r="19" spans="1:59" ht="80.25" customHeight="1">
      <c r="B19" s="227" t="s">
        <v>40</v>
      </c>
      <c r="C19" s="228"/>
      <c r="D19" s="229"/>
      <c r="E19" s="76"/>
      <c r="F19" s="67"/>
      <c r="G19" s="96" t="e">
        <f>F19/E19</f>
        <v>#DIV/0!</v>
      </c>
      <c r="H19" s="72"/>
      <c r="I19" s="67">
        <v>400</v>
      </c>
      <c r="J19" s="96" t="e">
        <f>I19/H19</f>
        <v>#DIV/0!</v>
      </c>
      <c r="K19" s="67"/>
      <c r="L19" s="67">
        <v>800</v>
      </c>
      <c r="M19" s="96" t="e">
        <f>L19/K19</f>
        <v>#DIV/0!</v>
      </c>
      <c r="N19" s="67"/>
      <c r="O19" s="67"/>
      <c r="P19" s="96" t="e">
        <f>O19/N19</f>
        <v>#DIV/0!</v>
      </c>
      <c r="Q19" s="76"/>
      <c r="R19" s="67">
        <v>0</v>
      </c>
      <c r="S19" s="96" t="e">
        <f>R19/Q19</f>
        <v>#DIV/0!</v>
      </c>
      <c r="T19" s="67"/>
      <c r="U19" s="67">
        <v>0</v>
      </c>
      <c r="V19" s="96" t="e">
        <f>U19/T19</f>
        <v>#DIV/0!</v>
      </c>
      <c r="W19" s="67">
        <f t="shared" ref="W19:X22" si="9">E19+H19+K19+N19+Q19+T19</f>
        <v>0</v>
      </c>
      <c r="X19" s="67">
        <f t="shared" si="9"/>
        <v>1200</v>
      </c>
      <c r="Y19" s="96" t="e">
        <f>X19/W19</f>
        <v>#DIV/0!</v>
      </c>
      <c r="Z19" s="67"/>
      <c r="AA19" s="67"/>
      <c r="AB19" s="96" t="e">
        <f>AA19/Z19</f>
        <v>#DIV/0!</v>
      </c>
      <c r="AC19" s="67"/>
      <c r="AD19" s="67"/>
      <c r="AE19" s="96" t="e">
        <f>AD19/AC19</f>
        <v>#DIV/0!</v>
      </c>
      <c r="AF19" s="67"/>
      <c r="AG19" s="67"/>
      <c r="AH19" s="96" t="e">
        <f>AG19/AF19</f>
        <v>#DIV/0!</v>
      </c>
      <c r="AI19" s="67"/>
      <c r="AJ19" s="67"/>
      <c r="AK19" s="96" t="e">
        <f>AJ19/AI19</f>
        <v>#DIV/0!</v>
      </c>
      <c r="AL19" s="67"/>
      <c r="AM19" s="67"/>
      <c r="AN19" s="96" t="e">
        <f>AM19/AL19</f>
        <v>#DIV/0!</v>
      </c>
      <c r="AO19" s="67"/>
      <c r="AP19" s="67"/>
      <c r="AQ19" s="96" t="e">
        <f>AP19/AO19</f>
        <v>#DIV/0!</v>
      </c>
      <c r="AR19" s="67">
        <f t="shared" ref="AR19:AS22" si="10">Z19+AC19+AF19+AI19+AL19+AO19</f>
        <v>0</v>
      </c>
      <c r="AS19" s="67">
        <f t="shared" si="10"/>
        <v>0</v>
      </c>
      <c r="AT19" s="96" t="e">
        <f>AS19/AR19</f>
        <v>#DIV/0!</v>
      </c>
      <c r="AU19" s="67">
        <f t="shared" ref="AU19:AV22" si="11">W19+AR19</f>
        <v>0</v>
      </c>
      <c r="AV19" s="67">
        <f t="shared" si="11"/>
        <v>1200</v>
      </c>
      <c r="AW19" s="101" t="e">
        <f>AV19/AU19</f>
        <v>#DIV/0!</v>
      </c>
      <c r="AX19" s="65"/>
      <c r="AY19" s="65"/>
      <c r="BA19" s="54"/>
    </row>
    <row r="20" spans="1:59" ht="80.25" customHeight="1">
      <c r="B20" s="207" t="s">
        <v>41</v>
      </c>
      <c r="C20" s="208"/>
      <c r="D20" s="209"/>
      <c r="E20" s="79">
        <v>3000</v>
      </c>
      <c r="F20" s="67">
        <v>800</v>
      </c>
      <c r="G20" s="96">
        <f>F20/E20</f>
        <v>0.26666666666666666</v>
      </c>
      <c r="H20" s="75">
        <v>3000</v>
      </c>
      <c r="I20" s="67">
        <v>2400</v>
      </c>
      <c r="J20" s="96">
        <f>I20/H20</f>
        <v>0.8</v>
      </c>
      <c r="K20" s="70">
        <v>3000</v>
      </c>
      <c r="L20" s="67">
        <v>2400</v>
      </c>
      <c r="M20" s="96">
        <f>L20/K20</f>
        <v>0.8</v>
      </c>
      <c r="N20" s="70">
        <v>3000</v>
      </c>
      <c r="O20" s="67">
        <v>1000</v>
      </c>
      <c r="P20" s="96">
        <f>O20/N20</f>
        <v>0.33333333333333331</v>
      </c>
      <c r="Q20" s="79">
        <v>3000</v>
      </c>
      <c r="R20" s="67">
        <v>600</v>
      </c>
      <c r="S20" s="96">
        <f>R20/Q20</f>
        <v>0.2</v>
      </c>
      <c r="T20" s="70">
        <v>3000</v>
      </c>
      <c r="U20" s="67">
        <v>1200</v>
      </c>
      <c r="V20" s="96">
        <f>U20/T20</f>
        <v>0.4</v>
      </c>
      <c r="W20" s="67">
        <f t="shared" si="9"/>
        <v>18000</v>
      </c>
      <c r="X20" s="67">
        <f t="shared" si="9"/>
        <v>8400</v>
      </c>
      <c r="Y20" s="96">
        <f>X20/W20</f>
        <v>0.46666666666666667</v>
      </c>
      <c r="Z20" s="70">
        <v>3000</v>
      </c>
      <c r="AA20" s="67"/>
      <c r="AB20" s="96">
        <f>AA20/Z20</f>
        <v>0</v>
      </c>
      <c r="AC20" s="70">
        <v>3000</v>
      </c>
      <c r="AD20" s="67"/>
      <c r="AE20" s="96">
        <f>AD20/AC20</f>
        <v>0</v>
      </c>
      <c r="AF20" s="70">
        <v>3000</v>
      </c>
      <c r="AG20" s="67"/>
      <c r="AH20" s="96">
        <f>AG20/AF20</f>
        <v>0</v>
      </c>
      <c r="AI20" s="70">
        <v>3000</v>
      </c>
      <c r="AJ20" s="67"/>
      <c r="AK20" s="96">
        <f>AJ20/AI20</f>
        <v>0</v>
      </c>
      <c r="AL20" s="70">
        <v>3000</v>
      </c>
      <c r="AM20" s="67"/>
      <c r="AN20" s="96">
        <f>AM20/AL20</f>
        <v>0</v>
      </c>
      <c r="AO20" s="70">
        <v>3000</v>
      </c>
      <c r="AP20" s="67"/>
      <c r="AQ20" s="96">
        <f>AP20/AO20</f>
        <v>0</v>
      </c>
      <c r="AR20" s="67">
        <f t="shared" si="10"/>
        <v>18000</v>
      </c>
      <c r="AS20" s="67">
        <f t="shared" si="10"/>
        <v>0</v>
      </c>
      <c r="AT20" s="96">
        <f>AS20/AR20</f>
        <v>0</v>
      </c>
      <c r="AU20" s="67">
        <f t="shared" si="11"/>
        <v>36000</v>
      </c>
      <c r="AV20" s="67">
        <f t="shared" si="11"/>
        <v>8400</v>
      </c>
      <c r="AW20" s="101">
        <f>AV20/AU20</f>
        <v>0.23333333333333334</v>
      </c>
      <c r="AX20" s="65"/>
      <c r="AY20" s="65"/>
      <c r="BA20" s="54"/>
    </row>
    <row r="21" spans="1:59" ht="80.25" customHeight="1">
      <c r="B21" s="201" t="s">
        <v>38</v>
      </c>
      <c r="C21" s="202"/>
      <c r="D21" s="203"/>
      <c r="E21" s="76"/>
      <c r="F21" s="67">
        <v>720</v>
      </c>
      <c r="G21" s="96" t="e">
        <f>F21/E21</f>
        <v>#DIV/0!</v>
      </c>
      <c r="H21" s="72"/>
      <c r="I21" s="67">
        <v>390</v>
      </c>
      <c r="J21" s="96" t="e">
        <f>I21/H21</f>
        <v>#DIV/0!</v>
      </c>
      <c r="K21" s="67"/>
      <c r="L21" s="67">
        <v>450</v>
      </c>
      <c r="M21" s="96" t="e">
        <f>L21/K21</f>
        <v>#DIV/0!</v>
      </c>
      <c r="N21" s="67"/>
      <c r="O21" s="67">
        <v>210</v>
      </c>
      <c r="P21" s="96" t="e">
        <f>O21/N21</f>
        <v>#DIV/0!</v>
      </c>
      <c r="Q21" s="76"/>
      <c r="R21" s="67">
        <v>840</v>
      </c>
      <c r="S21" s="96" t="e">
        <f>R21/Q21</f>
        <v>#DIV/0!</v>
      </c>
      <c r="T21" s="67"/>
      <c r="U21" s="67">
        <v>630</v>
      </c>
      <c r="V21" s="96" t="e">
        <f>U21/T21</f>
        <v>#DIV/0!</v>
      </c>
      <c r="W21" s="67">
        <f t="shared" si="9"/>
        <v>0</v>
      </c>
      <c r="X21" s="67">
        <f t="shared" si="9"/>
        <v>3240</v>
      </c>
      <c r="Y21" s="96" t="e">
        <f>X21/W21</f>
        <v>#DIV/0!</v>
      </c>
      <c r="Z21" s="67"/>
      <c r="AA21" s="67"/>
      <c r="AB21" s="96" t="e">
        <f>AA21/Z21</f>
        <v>#DIV/0!</v>
      </c>
      <c r="AC21" s="67"/>
      <c r="AD21" s="67"/>
      <c r="AE21" s="96" t="e">
        <f>AD21/AC21</f>
        <v>#DIV/0!</v>
      </c>
      <c r="AF21" s="67"/>
      <c r="AG21" s="67"/>
      <c r="AH21" s="96" t="e">
        <f>AG21/AF21</f>
        <v>#DIV/0!</v>
      </c>
      <c r="AI21" s="67"/>
      <c r="AJ21" s="67"/>
      <c r="AK21" s="96" t="e">
        <f>AJ21/AI21</f>
        <v>#DIV/0!</v>
      </c>
      <c r="AL21" s="67"/>
      <c r="AM21" s="67"/>
      <c r="AN21" s="96" t="e">
        <f>AM21/AL21</f>
        <v>#DIV/0!</v>
      </c>
      <c r="AO21" s="67"/>
      <c r="AP21" s="67"/>
      <c r="AQ21" s="96" t="e">
        <f>AP21/AO21</f>
        <v>#DIV/0!</v>
      </c>
      <c r="AR21" s="67">
        <f t="shared" si="10"/>
        <v>0</v>
      </c>
      <c r="AS21" s="67">
        <f t="shared" si="10"/>
        <v>0</v>
      </c>
      <c r="AT21" s="96" t="e">
        <f>AS21/AR21</f>
        <v>#DIV/0!</v>
      </c>
      <c r="AU21" s="67">
        <f t="shared" si="11"/>
        <v>0</v>
      </c>
      <c r="AV21" s="67">
        <f t="shared" si="11"/>
        <v>3240</v>
      </c>
      <c r="AW21" s="101" t="e">
        <f>AV21/AU21</f>
        <v>#DIV/0!</v>
      </c>
      <c r="AX21" s="65"/>
      <c r="AY21" s="65"/>
      <c r="BA21" s="54"/>
    </row>
    <row r="22" spans="1:59" ht="80.25" customHeight="1">
      <c r="B22" s="230" t="s">
        <v>37</v>
      </c>
      <c r="C22" s="231"/>
      <c r="D22" s="232"/>
      <c r="E22" s="76">
        <v>1500</v>
      </c>
      <c r="F22" s="67">
        <v>1550</v>
      </c>
      <c r="G22" s="96">
        <f>F22/E22</f>
        <v>1.0333333333333334</v>
      </c>
      <c r="H22" s="72">
        <v>1500</v>
      </c>
      <c r="I22" s="67">
        <v>1630</v>
      </c>
      <c r="J22" s="96">
        <f>I22/H22</f>
        <v>1.0866666666666667</v>
      </c>
      <c r="K22" s="67">
        <v>1500</v>
      </c>
      <c r="L22" s="67">
        <v>1760</v>
      </c>
      <c r="M22" s="96">
        <f>L22/K22</f>
        <v>1.1733333333333333</v>
      </c>
      <c r="N22" s="67">
        <v>1500</v>
      </c>
      <c r="O22" s="67">
        <v>1850</v>
      </c>
      <c r="P22" s="96">
        <f>O22/N22</f>
        <v>1.2333333333333334</v>
      </c>
      <c r="Q22" s="76">
        <v>1500</v>
      </c>
      <c r="R22" s="67">
        <v>1870</v>
      </c>
      <c r="S22" s="96">
        <f>R22/Q22</f>
        <v>1.2466666666666666</v>
      </c>
      <c r="T22" s="67">
        <v>1500</v>
      </c>
      <c r="U22" s="67">
        <v>1900</v>
      </c>
      <c r="V22" s="96">
        <f>U22/T22</f>
        <v>1.2666666666666666</v>
      </c>
      <c r="W22" s="67">
        <f t="shared" si="9"/>
        <v>9000</v>
      </c>
      <c r="X22" s="67">
        <f t="shared" si="9"/>
        <v>10560</v>
      </c>
      <c r="Y22" s="96">
        <f>X22/W22</f>
        <v>1.1733333333333333</v>
      </c>
      <c r="Z22" s="67">
        <v>1500</v>
      </c>
      <c r="AA22" s="67"/>
      <c r="AB22" s="96">
        <f>AA22/Z22</f>
        <v>0</v>
      </c>
      <c r="AC22" s="67">
        <v>1500</v>
      </c>
      <c r="AD22" s="67"/>
      <c r="AE22" s="96">
        <f>AD22/AC22</f>
        <v>0</v>
      </c>
      <c r="AF22" s="67">
        <v>1500</v>
      </c>
      <c r="AG22" s="67"/>
      <c r="AH22" s="96">
        <f>AG22/AF22</f>
        <v>0</v>
      </c>
      <c r="AI22" s="67">
        <v>1500</v>
      </c>
      <c r="AJ22" s="67"/>
      <c r="AK22" s="96">
        <f>AJ22/AI22</f>
        <v>0</v>
      </c>
      <c r="AL22" s="67">
        <v>1500</v>
      </c>
      <c r="AM22" s="67"/>
      <c r="AN22" s="96">
        <f>AM22/AL22</f>
        <v>0</v>
      </c>
      <c r="AO22" s="67">
        <v>1500</v>
      </c>
      <c r="AP22" s="67"/>
      <c r="AQ22" s="96">
        <f>AP22/AO22</f>
        <v>0</v>
      </c>
      <c r="AR22" s="67">
        <f t="shared" si="10"/>
        <v>9000</v>
      </c>
      <c r="AS22" s="67">
        <f t="shared" si="10"/>
        <v>0</v>
      </c>
      <c r="AT22" s="96">
        <f>AS22/AR22</f>
        <v>0</v>
      </c>
      <c r="AU22" s="67">
        <f t="shared" si="11"/>
        <v>18000</v>
      </c>
      <c r="AV22" s="67">
        <f t="shared" si="11"/>
        <v>10560</v>
      </c>
      <c r="AW22" s="101">
        <f>AV22/AU22</f>
        <v>0.58666666666666667</v>
      </c>
      <c r="AX22" s="65"/>
      <c r="AY22" s="65"/>
      <c r="BA22" s="54"/>
    </row>
    <row r="23" spans="1:59" ht="104" customHeight="1" thickBot="1">
      <c r="B23" s="247" t="s">
        <v>15</v>
      </c>
      <c r="C23" s="248"/>
      <c r="D23" s="249"/>
      <c r="E23" s="102">
        <f>SUM(E19:E22)</f>
        <v>4500</v>
      </c>
      <c r="F23" s="94">
        <f t="shared" ref="F23:AV23" si="12">SUM(F19:F22)</f>
        <v>3070</v>
      </c>
      <c r="G23" s="91">
        <f>F23/E23</f>
        <v>0.68222222222222217</v>
      </c>
      <c r="H23" s="85">
        <f t="shared" si="12"/>
        <v>4500</v>
      </c>
      <c r="I23" s="86">
        <f t="shared" si="12"/>
        <v>4820</v>
      </c>
      <c r="J23" s="91">
        <f>I23/H23</f>
        <v>1.0711111111111111</v>
      </c>
      <c r="K23" s="86">
        <f t="shared" si="12"/>
        <v>4500</v>
      </c>
      <c r="L23" s="86">
        <f t="shared" si="12"/>
        <v>5410</v>
      </c>
      <c r="M23" s="91">
        <f>L23/K23</f>
        <v>1.2022222222222223</v>
      </c>
      <c r="N23" s="86">
        <f t="shared" si="12"/>
        <v>4500</v>
      </c>
      <c r="O23" s="90">
        <f t="shared" si="12"/>
        <v>3060</v>
      </c>
      <c r="P23" s="91">
        <f>O23/N23</f>
        <v>0.68</v>
      </c>
      <c r="Q23" s="118">
        <f t="shared" si="12"/>
        <v>4500</v>
      </c>
      <c r="R23" s="119">
        <f t="shared" si="12"/>
        <v>3310</v>
      </c>
      <c r="S23" s="120">
        <f>R23/Q23</f>
        <v>0.73555555555555552</v>
      </c>
      <c r="T23" s="103">
        <f t="shared" si="12"/>
        <v>4500</v>
      </c>
      <c r="U23" s="86">
        <f t="shared" si="12"/>
        <v>3730</v>
      </c>
      <c r="V23" s="91">
        <f>U23/T23</f>
        <v>0.8288888888888889</v>
      </c>
      <c r="W23" s="85">
        <f t="shared" si="12"/>
        <v>27000</v>
      </c>
      <c r="X23" s="86">
        <f t="shared" si="12"/>
        <v>23400</v>
      </c>
      <c r="Y23" s="104">
        <f>X23/W23</f>
        <v>0.8666666666666667</v>
      </c>
      <c r="Z23" s="86">
        <f t="shared" si="12"/>
        <v>4500</v>
      </c>
      <c r="AA23" s="86">
        <f t="shared" si="12"/>
        <v>0</v>
      </c>
      <c r="AB23" s="91">
        <f>AA23/Z23</f>
        <v>0</v>
      </c>
      <c r="AC23" s="86">
        <f t="shared" si="12"/>
        <v>4500</v>
      </c>
      <c r="AD23" s="86">
        <f t="shared" si="12"/>
        <v>0</v>
      </c>
      <c r="AE23" s="91">
        <f>AD23/AC23</f>
        <v>0</v>
      </c>
      <c r="AF23" s="86">
        <f t="shared" si="12"/>
        <v>4500</v>
      </c>
      <c r="AG23" s="86">
        <f t="shared" si="12"/>
        <v>0</v>
      </c>
      <c r="AH23" s="91">
        <f>AG23/AF23</f>
        <v>0</v>
      </c>
      <c r="AI23" s="86">
        <f t="shared" si="12"/>
        <v>4500</v>
      </c>
      <c r="AJ23" s="86">
        <f t="shared" si="12"/>
        <v>0</v>
      </c>
      <c r="AK23" s="91">
        <f>AJ23/AI23</f>
        <v>0</v>
      </c>
      <c r="AL23" s="86">
        <f t="shared" si="12"/>
        <v>4500</v>
      </c>
      <c r="AM23" s="86">
        <f t="shared" si="12"/>
        <v>0</v>
      </c>
      <c r="AN23" s="91">
        <f>AM23/AL23</f>
        <v>0</v>
      </c>
      <c r="AO23" s="86">
        <f t="shared" si="12"/>
        <v>4500</v>
      </c>
      <c r="AP23" s="86">
        <f t="shared" si="12"/>
        <v>0</v>
      </c>
      <c r="AQ23" s="91">
        <f>AP23/AO23</f>
        <v>0</v>
      </c>
      <c r="AR23" s="86">
        <f>SUM(AR19:AR22)</f>
        <v>27000</v>
      </c>
      <c r="AS23" s="86">
        <f t="shared" ref="AS23" si="13">SUM(AS19:AS22)</f>
        <v>0</v>
      </c>
      <c r="AT23" s="104">
        <f>AS23/AR23</f>
        <v>0</v>
      </c>
      <c r="AU23" s="86">
        <f t="shared" si="12"/>
        <v>54000</v>
      </c>
      <c r="AV23" s="86">
        <f t="shared" si="12"/>
        <v>23400</v>
      </c>
      <c r="AW23" s="105">
        <f>AV23/AU23</f>
        <v>0.43333333333333335</v>
      </c>
    </row>
    <row r="24" spans="1:59" s="63" customFormat="1" ht="141.75" customHeight="1">
      <c r="A24" s="64"/>
      <c r="O24" s="83"/>
      <c r="AU24" s="87"/>
      <c r="AV24" s="87"/>
      <c r="AW24" s="87"/>
    </row>
    <row r="25" spans="1:59" ht="80.25" customHeight="1">
      <c r="B25" s="80"/>
      <c r="C25" s="80"/>
      <c r="D25" s="80"/>
      <c r="E25" s="220"/>
      <c r="F25" s="220"/>
      <c r="G25" s="80"/>
      <c r="H25" s="80"/>
      <c r="I25" s="80"/>
      <c r="J25" s="80"/>
      <c r="K25" s="80"/>
      <c r="L25" s="80"/>
      <c r="M25" s="80"/>
      <c r="N25" s="80"/>
      <c r="O25" s="80"/>
      <c r="P25" s="80"/>
      <c r="Q25" s="80"/>
      <c r="R25" s="80"/>
      <c r="S25" s="80"/>
      <c r="T25" s="80"/>
      <c r="U25" s="80"/>
      <c r="V25" s="80"/>
      <c r="W25" s="80"/>
      <c r="X25" s="80"/>
      <c r="Y25" s="80"/>
      <c r="Z25" s="80"/>
      <c r="AA25" s="80"/>
      <c r="AB25" s="80"/>
      <c r="AC25" s="80"/>
      <c r="AD25" s="80"/>
      <c r="AE25" s="80"/>
      <c r="AF25" s="80"/>
      <c r="AG25" s="80"/>
      <c r="AH25" s="80"/>
      <c r="AI25" s="80"/>
      <c r="AJ25" s="80"/>
      <c r="AK25" s="80"/>
      <c r="AL25" s="80"/>
      <c r="AM25" s="80"/>
      <c r="AN25" s="80"/>
      <c r="AO25" s="80"/>
      <c r="AP25" s="80"/>
      <c r="AQ25" s="80"/>
      <c r="AR25" s="80"/>
      <c r="AS25" s="80"/>
      <c r="AT25" s="80"/>
      <c r="AU25" s="80"/>
      <c r="AV25" s="80"/>
      <c r="AW25" s="80"/>
    </row>
    <row r="26" spans="1:59" s="58" customFormat="1" ht="20.25" customHeight="1">
      <c r="A26" s="54"/>
      <c r="B26" s="55"/>
      <c r="E26" s="65"/>
      <c r="F26" s="65"/>
      <c r="G26" s="65"/>
      <c r="H26" s="65"/>
      <c r="I26" s="57"/>
      <c r="J26" s="65"/>
      <c r="K26" s="57"/>
      <c r="L26" s="65"/>
      <c r="M26" s="65"/>
      <c r="N26" s="65"/>
      <c r="O26" s="65"/>
      <c r="P26" s="65"/>
      <c r="Q26" s="65"/>
      <c r="R26" s="65"/>
      <c r="S26" s="65"/>
      <c r="T26" s="65"/>
      <c r="U26" s="65"/>
      <c r="V26" s="65"/>
      <c r="W26" s="65"/>
      <c r="X26" s="65"/>
      <c r="Y26" s="57"/>
      <c r="Z26" s="65"/>
      <c r="AA26" s="65"/>
      <c r="AB26" s="65"/>
      <c r="AC26" s="65"/>
      <c r="AD26" s="57"/>
      <c r="AE26" s="65"/>
      <c r="AF26" s="57"/>
      <c r="AG26" s="65"/>
      <c r="AH26" s="65"/>
      <c r="AI26" s="65"/>
      <c r="AJ26" s="65"/>
      <c r="AK26" s="65"/>
      <c r="AL26" s="65"/>
      <c r="AM26" s="65"/>
      <c r="AN26" s="65"/>
      <c r="AO26" s="65"/>
      <c r="AP26" s="65"/>
      <c r="AQ26" s="65"/>
      <c r="AR26" s="65"/>
      <c r="AS26" s="65"/>
      <c r="AT26" s="57"/>
      <c r="AU26" s="65"/>
      <c r="AV26" s="65"/>
      <c r="AW26" s="66"/>
      <c r="BB26" s="59"/>
      <c r="BC26" s="59"/>
      <c r="BD26" s="59"/>
      <c r="BE26" s="59"/>
      <c r="BF26" s="59"/>
      <c r="BG26" s="59"/>
    </row>
    <row r="27" spans="1:59" s="58" customFormat="1" ht="20.25" customHeight="1">
      <c r="A27" s="54"/>
      <c r="B27" s="55"/>
      <c r="E27" s="65"/>
      <c r="F27" s="65"/>
      <c r="G27" s="65"/>
      <c r="H27" s="65"/>
      <c r="I27" s="57"/>
      <c r="J27" s="65"/>
      <c r="K27" s="57"/>
      <c r="L27" s="65"/>
      <c r="M27" s="65"/>
      <c r="N27" s="65"/>
      <c r="O27" s="65"/>
      <c r="P27" s="65"/>
      <c r="Q27" s="65"/>
      <c r="R27" s="65"/>
      <c r="S27" s="65"/>
      <c r="T27" s="65"/>
      <c r="U27" s="65"/>
      <c r="V27" s="65"/>
      <c r="W27" s="65"/>
      <c r="X27" s="65"/>
      <c r="Y27" s="57"/>
      <c r="Z27" s="65"/>
      <c r="AA27" s="65"/>
      <c r="AB27" s="65"/>
      <c r="AC27" s="65"/>
      <c r="AD27" s="57"/>
      <c r="AE27" s="65"/>
      <c r="AF27" s="57"/>
      <c r="AG27" s="65"/>
      <c r="AH27" s="65"/>
      <c r="AI27" s="65"/>
      <c r="AJ27" s="65"/>
      <c r="AK27" s="65"/>
      <c r="AL27" s="65"/>
      <c r="AM27" s="65"/>
      <c r="AN27" s="65"/>
      <c r="AO27" s="65"/>
      <c r="AP27" s="65"/>
      <c r="AQ27" s="65"/>
      <c r="AR27" s="65"/>
      <c r="AS27" s="65"/>
      <c r="AT27" s="57"/>
      <c r="AU27" s="65"/>
      <c r="AV27" s="65"/>
      <c r="AW27" s="66"/>
      <c r="BB27" s="59"/>
      <c r="BC27" s="59"/>
      <c r="BD27" s="59"/>
      <c r="BE27" s="59"/>
      <c r="BF27" s="59"/>
      <c r="BG27" s="59"/>
    </row>
    <row r="28" spans="1:59" s="58" customFormat="1" ht="20.25" customHeight="1">
      <c r="A28" s="54"/>
      <c r="B28" s="55"/>
      <c r="E28" s="65"/>
      <c r="F28" s="65"/>
      <c r="G28" s="65"/>
      <c r="H28" s="65"/>
      <c r="I28" s="57"/>
      <c r="J28" s="65"/>
      <c r="K28" s="57"/>
      <c r="L28" s="57"/>
      <c r="M28" s="65"/>
      <c r="N28" s="57"/>
      <c r="O28" s="57"/>
      <c r="P28" s="65"/>
      <c r="Q28" s="57"/>
      <c r="R28" s="57"/>
      <c r="S28" s="65"/>
      <c r="T28" s="57"/>
      <c r="U28" s="57"/>
      <c r="V28" s="65"/>
      <c r="W28" s="57"/>
      <c r="X28" s="57"/>
      <c r="Y28" s="57"/>
      <c r="Z28" s="65"/>
      <c r="AA28" s="65"/>
      <c r="AB28" s="65"/>
      <c r="AC28" s="65"/>
      <c r="AD28" s="57"/>
      <c r="AE28" s="65"/>
      <c r="AF28" s="57"/>
      <c r="AG28" s="57"/>
      <c r="AH28" s="65"/>
      <c r="AI28" s="57"/>
      <c r="AJ28" s="57"/>
      <c r="AK28" s="65"/>
      <c r="AL28" s="57"/>
      <c r="AM28" s="57"/>
      <c r="AN28" s="65"/>
      <c r="AO28" s="57"/>
      <c r="AP28" s="57"/>
      <c r="AQ28" s="65"/>
      <c r="AR28" s="57"/>
      <c r="AS28" s="57"/>
      <c r="AT28" s="57"/>
      <c r="AU28" s="57"/>
      <c r="AV28" s="57"/>
      <c r="AW28" s="66"/>
      <c r="BB28" s="59"/>
      <c r="BC28" s="59"/>
      <c r="BD28" s="59"/>
      <c r="BE28" s="59"/>
      <c r="BF28" s="59"/>
      <c r="BG28" s="59"/>
    </row>
    <row r="29" spans="1:59" s="58" customFormat="1" ht="20.25" customHeight="1">
      <c r="A29" s="54"/>
      <c r="B29" s="55"/>
      <c r="C29" s="56"/>
      <c r="D29" s="56"/>
      <c r="E29" s="57"/>
      <c r="F29" s="57"/>
      <c r="G29" s="57"/>
      <c r="H29" s="57"/>
      <c r="I29" s="57"/>
      <c r="J29" s="57"/>
      <c r="K29" s="57"/>
      <c r="L29" s="57"/>
      <c r="M29" s="57"/>
      <c r="N29" s="57"/>
      <c r="O29" s="57"/>
      <c r="P29" s="57"/>
      <c r="Q29" s="57"/>
      <c r="R29" s="57"/>
      <c r="S29" s="57"/>
      <c r="T29" s="57"/>
      <c r="U29" s="57"/>
      <c r="V29" s="57"/>
      <c r="W29" s="57"/>
      <c r="X29" s="57"/>
      <c r="Y29" s="57"/>
      <c r="Z29" s="57"/>
      <c r="AA29" s="57"/>
      <c r="AB29" s="57"/>
      <c r="AC29" s="57"/>
      <c r="AD29" s="57"/>
      <c r="AE29" s="57"/>
      <c r="AF29" s="57"/>
      <c r="AG29" s="57"/>
      <c r="AH29" s="57"/>
      <c r="AI29" s="57"/>
      <c r="AJ29" s="57"/>
      <c r="AK29" s="57"/>
      <c r="AL29" s="57"/>
      <c r="AM29" s="57"/>
      <c r="AN29" s="57"/>
      <c r="AO29" s="57"/>
      <c r="AP29" s="57"/>
      <c r="AQ29" s="57"/>
      <c r="AR29" s="57"/>
      <c r="AS29" s="57"/>
      <c r="AT29" s="57"/>
      <c r="AU29" s="57"/>
      <c r="AV29" s="57"/>
      <c r="AW29" s="66"/>
      <c r="BB29" s="59"/>
      <c r="BC29" s="59"/>
      <c r="BD29" s="59"/>
      <c r="BE29" s="59"/>
      <c r="BF29" s="59"/>
      <c r="BG29" s="59"/>
    </row>
    <row r="30" spans="1:59" s="58" customFormat="1" ht="20.25" customHeight="1">
      <c r="A30" s="54"/>
      <c r="B30" s="55"/>
      <c r="C30" s="56"/>
      <c r="D30" s="56"/>
      <c r="E30" s="57"/>
      <c r="F30" s="57"/>
      <c r="G30" s="57"/>
      <c r="H30" s="57"/>
      <c r="I30" s="57"/>
      <c r="J30" s="57"/>
      <c r="K30" s="57"/>
      <c r="L30" s="65"/>
      <c r="M30" s="57"/>
      <c r="N30" s="57"/>
      <c r="O30" s="57"/>
      <c r="P30" s="57"/>
      <c r="Q30" s="57"/>
      <c r="R30" s="57"/>
      <c r="S30" s="57"/>
      <c r="T30" s="57"/>
      <c r="U30" s="57"/>
      <c r="V30" s="57"/>
      <c r="W30" s="57"/>
      <c r="X30" s="57"/>
      <c r="Y30" s="57"/>
      <c r="Z30" s="57"/>
      <c r="AA30" s="57"/>
      <c r="AB30" s="57"/>
      <c r="AC30" s="57"/>
      <c r="AD30" s="57"/>
      <c r="AE30" s="57"/>
      <c r="AF30" s="57"/>
      <c r="AG30" s="65"/>
      <c r="AH30" s="57"/>
      <c r="AI30" s="57"/>
      <c r="AJ30" s="57"/>
      <c r="AK30" s="57"/>
      <c r="AL30" s="57"/>
      <c r="AM30" s="57"/>
      <c r="AN30" s="57"/>
      <c r="AO30" s="57"/>
      <c r="AP30" s="57"/>
      <c r="AQ30" s="57"/>
      <c r="AR30" s="57"/>
      <c r="AS30" s="57"/>
      <c r="AT30" s="57"/>
      <c r="AU30" s="57"/>
      <c r="AV30" s="57"/>
      <c r="AW30" s="66"/>
      <c r="BB30" s="59"/>
      <c r="BC30" s="59"/>
      <c r="BD30" s="59"/>
      <c r="BE30" s="59"/>
      <c r="BF30" s="59"/>
      <c r="BG30" s="59"/>
    </row>
    <row r="31" spans="1:59" s="58" customFormat="1" ht="20.25" customHeight="1">
      <c r="A31" s="54"/>
      <c r="B31" s="55"/>
      <c r="C31" s="56"/>
      <c r="D31" s="56"/>
      <c r="E31" s="57"/>
      <c r="F31" s="57"/>
      <c r="G31" s="57"/>
      <c r="H31" s="57"/>
      <c r="I31" s="57"/>
      <c r="J31" s="57"/>
      <c r="K31" s="57"/>
      <c r="L31" s="57"/>
      <c r="M31" s="57"/>
      <c r="N31" s="57"/>
      <c r="O31" s="57"/>
      <c r="P31" s="57"/>
      <c r="Q31" s="57"/>
      <c r="R31" s="57"/>
      <c r="S31" s="57"/>
      <c r="T31" s="57"/>
      <c r="U31" s="57"/>
      <c r="V31" s="57"/>
      <c r="W31" s="57"/>
      <c r="X31" s="57"/>
      <c r="Y31" s="57"/>
      <c r="Z31" s="57"/>
      <c r="AA31" s="57"/>
      <c r="AB31" s="57"/>
      <c r="AC31" s="57"/>
      <c r="AD31" s="57"/>
      <c r="AE31" s="57"/>
      <c r="AF31" s="57"/>
      <c r="AG31" s="57"/>
      <c r="AH31" s="57"/>
      <c r="AI31" s="57"/>
      <c r="AJ31" s="57"/>
      <c r="AK31" s="57"/>
      <c r="AL31" s="57"/>
      <c r="AM31" s="57"/>
      <c r="AN31" s="57"/>
      <c r="AO31" s="57"/>
      <c r="AP31" s="57"/>
      <c r="AQ31" s="57"/>
      <c r="AR31" s="57"/>
      <c r="AS31" s="57"/>
      <c r="AT31" s="57"/>
      <c r="AU31" s="57"/>
      <c r="AV31" s="57"/>
      <c r="AW31" s="66"/>
      <c r="BB31" s="59"/>
      <c r="BC31" s="59"/>
      <c r="BD31" s="59"/>
      <c r="BE31" s="59"/>
      <c r="BF31" s="59"/>
      <c r="BG31" s="59"/>
    </row>
    <row r="32" spans="1:59" s="58" customFormat="1" ht="20.25" customHeight="1">
      <c r="A32" s="54"/>
      <c r="B32" s="55"/>
      <c r="C32" s="56"/>
      <c r="D32" s="56"/>
      <c r="E32" s="57"/>
      <c r="F32" s="57"/>
      <c r="G32" s="57"/>
      <c r="H32" s="57"/>
      <c r="I32" s="57"/>
      <c r="J32" s="57"/>
      <c r="K32" s="57"/>
      <c r="L32" s="57"/>
      <c r="M32" s="57"/>
      <c r="N32" s="57"/>
      <c r="O32" s="57"/>
      <c r="P32" s="57"/>
      <c r="Q32" s="57"/>
      <c r="R32" s="57"/>
      <c r="S32" s="57"/>
      <c r="T32" s="57"/>
      <c r="U32" s="57"/>
      <c r="V32" s="57"/>
      <c r="W32" s="57"/>
      <c r="X32" s="57"/>
      <c r="Y32" s="57"/>
      <c r="Z32" s="57"/>
      <c r="AA32" s="57"/>
      <c r="AB32" s="57"/>
      <c r="AC32" s="57"/>
      <c r="AD32" s="57"/>
      <c r="AE32" s="57"/>
      <c r="AF32" s="57"/>
      <c r="AG32" s="57"/>
      <c r="AH32" s="57"/>
      <c r="AI32" s="57"/>
      <c r="AJ32" s="57"/>
      <c r="AK32" s="57"/>
      <c r="AL32" s="57"/>
      <c r="AM32" s="57"/>
      <c r="AN32" s="57"/>
      <c r="AO32" s="57"/>
      <c r="AP32" s="57"/>
      <c r="AQ32" s="57"/>
      <c r="AR32" s="57"/>
      <c r="AS32" s="57"/>
      <c r="AT32" s="57"/>
      <c r="AU32" s="57"/>
      <c r="AV32" s="57"/>
      <c r="AW32" s="66"/>
      <c r="BB32" s="59"/>
      <c r="BC32" s="59"/>
      <c r="BD32" s="59"/>
      <c r="BE32" s="59"/>
      <c r="BF32" s="59"/>
      <c r="BG32" s="59"/>
    </row>
  </sheetData>
  <mergeCells count="44">
    <mergeCell ref="A2:D2"/>
    <mergeCell ref="AY2:AZ2"/>
    <mergeCell ref="B3:D3"/>
    <mergeCell ref="AX3:AY3"/>
    <mergeCell ref="B4:D4"/>
    <mergeCell ref="E4:G4"/>
    <mergeCell ref="H4:J4"/>
    <mergeCell ref="K4:M4"/>
    <mergeCell ref="N4:P4"/>
    <mergeCell ref="Q4:S4"/>
    <mergeCell ref="AX4:AY4"/>
    <mergeCell ref="AF4:AH4"/>
    <mergeCell ref="AI4:AK4"/>
    <mergeCell ref="AL4:AN4"/>
    <mergeCell ref="AO4:AQ4"/>
    <mergeCell ref="AR4:AT4"/>
    <mergeCell ref="AU4:AW4"/>
    <mergeCell ref="B6:D6"/>
    <mergeCell ref="Z4:AB4"/>
    <mergeCell ref="AC4:AE4"/>
    <mergeCell ref="AX8:AX9"/>
    <mergeCell ref="B9:D9"/>
    <mergeCell ref="B7:D7"/>
    <mergeCell ref="B8:D8"/>
    <mergeCell ref="B5:D5"/>
    <mergeCell ref="T4:V4"/>
    <mergeCell ref="W4:Y4"/>
    <mergeCell ref="B11:D11"/>
    <mergeCell ref="B12:D12"/>
    <mergeCell ref="AX12:AY12"/>
    <mergeCell ref="B10:D10"/>
    <mergeCell ref="B13:D13"/>
    <mergeCell ref="B14:D14"/>
    <mergeCell ref="AX14:AX16"/>
    <mergeCell ref="B15:D15"/>
    <mergeCell ref="B16:D16"/>
    <mergeCell ref="B23:D23"/>
    <mergeCell ref="E25:F25"/>
    <mergeCell ref="B17:D17"/>
    <mergeCell ref="B18:D18"/>
    <mergeCell ref="B19:D19"/>
    <mergeCell ref="B20:D20"/>
    <mergeCell ref="B21:D21"/>
    <mergeCell ref="B22:D22"/>
  </mergeCells>
  <phoneticPr fontId="1"/>
  <printOptions horizontalCentered="1"/>
  <pageMargins left="0.25" right="0.25" top="0.75" bottom="0.75" header="0.3" footer="0.3"/>
  <pageSetup paperSize="8" scale="22" orientation="landscape" r:id="rId1"/>
  <headerFooter>
    <oddHeader>&amp;R&amp;"HG丸ｺﾞｼｯｸM-PRO,標準"&amp;14ＳＨＣ</oddHeader>
  </headerFooter>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EF3CAD-4385-47E0-8BC1-5390B4BDAC5F}">
  <sheetPr>
    <tabColor rgb="FF7030A0"/>
    <pageSetUpPr fitToPage="1"/>
  </sheetPr>
  <dimension ref="A1:BG32"/>
  <sheetViews>
    <sheetView showGridLines="0" view="pageBreakPreview" topLeftCell="B1" zoomScale="34" zoomScaleNormal="100" zoomScaleSheetLayoutView="34" zoomScalePageLayoutView="80" workbookViewId="0">
      <pane xSplit="3" ySplit="6" topLeftCell="J7" activePane="bottomRight" state="frozen"/>
      <selection activeCell="B1" sqref="B1"/>
      <selection pane="topRight" activeCell="E1" sqref="E1"/>
      <selection pane="bottomLeft" activeCell="B6" sqref="B6"/>
      <selection pane="bottomRight" activeCell="U23" sqref="U23"/>
    </sheetView>
  </sheetViews>
  <sheetFormatPr defaultColWidth="9" defaultRowHeight="20.25" customHeight="1" outlineLevelRow="1"/>
  <cols>
    <col min="1" max="1" width="9" style="54"/>
    <col min="2" max="2" width="20.59765625" style="55" customWidth="1"/>
    <col min="3" max="4" width="20.59765625" style="56" customWidth="1"/>
    <col min="5" max="8" width="18.265625" style="57" customWidth="1"/>
    <col min="9" max="9" width="16.1328125" style="57" customWidth="1"/>
    <col min="10" max="22" width="18.265625" style="57" customWidth="1"/>
    <col min="23" max="23" width="23.33203125" style="57" bestFit="1" customWidth="1"/>
    <col min="24" max="43" width="18.265625" style="57" customWidth="1"/>
    <col min="44" max="44" width="23.33203125" style="57" bestFit="1" customWidth="1"/>
    <col min="45" max="46" width="18.265625" style="57" customWidth="1"/>
    <col min="47" max="47" width="23.33203125" style="57" bestFit="1" customWidth="1"/>
    <col min="48" max="48" width="18.265625" style="57" customWidth="1"/>
    <col min="49" max="49" width="18.265625" style="66" customWidth="1"/>
    <col min="50" max="51" width="10.06640625" style="58" customWidth="1"/>
    <col min="52" max="52" width="12.33203125" style="58" customWidth="1"/>
    <col min="53" max="53" width="2.33203125" style="58" customWidth="1"/>
    <col min="54" max="58" width="9" style="59"/>
    <col min="59" max="59" width="25.796875" style="59" customWidth="1"/>
    <col min="60" max="16384" width="9" style="59"/>
  </cols>
  <sheetData>
    <row r="1" spans="1:53" ht="20.25" customHeight="1">
      <c r="AW1" s="57"/>
    </row>
    <row r="2" spans="1:53" s="63" customFormat="1" ht="80.25" customHeight="1">
      <c r="A2" s="180" t="s">
        <v>39</v>
      </c>
      <c r="B2" s="180"/>
      <c r="C2" s="180"/>
      <c r="D2" s="180"/>
      <c r="E2" s="60"/>
      <c r="F2" s="60"/>
      <c r="G2" s="60"/>
      <c r="H2" s="60"/>
      <c r="I2" s="60"/>
      <c r="J2" s="60"/>
      <c r="K2" s="60"/>
      <c r="L2" s="60"/>
      <c r="M2" s="60"/>
      <c r="N2" s="60"/>
      <c r="O2" s="60"/>
      <c r="P2" s="60"/>
      <c r="Q2" s="60"/>
      <c r="R2" s="60"/>
      <c r="S2" s="60"/>
      <c r="T2" s="60"/>
      <c r="U2" s="60"/>
      <c r="V2" s="60"/>
      <c r="W2" s="60"/>
      <c r="X2" s="60"/>
      <c r="Y2" s="60"/>
      <c r="Z2" s="60"/>
      <c r="AA2" s="60"/>
      <c r="AB2" s="60"/>
      <c r="AC2" s="60"/>
      <c r="AD2" s="60"/>
      <c r="AE2" s="60"/>
      <c r="AF2" s="60"/>
      <c r="AG2" s="60"/>
      <c r="AH2" s="60"/>
      <c r="AI2" s="60"/>
      <c r="AJ2" s="60"/>
      <c r="AK2" s="60"/>
      <c r="AL2" s="60"/>
      <c r="AM2" s="60"/>
      <c r="AN2" s="60"/>
      <c r="AO2" s="60"/>
      <c r="AP2" s="60"/>
      <c r="AQ2" s="60"/>
      <c r="AR2" s="60"/>
      <c r="AS2" s="60"/>
      <c r="AT2" s="60"/>
      <c r="AU2" s="60"/>
      <c r="AV2" s="60"/>
      <c r="AW2" s="60"/>
      <c r="AX2" s="61"/>
      <c r="AY2" s="181"/>
      <c r="AZ2" s="182"/>
      <c r="BA2" s="62"/>
    </row>
    <row r="3" spans="1:53" s="63" customFormat="1" ht="80.25" customHeight="1" thickBot="1">
      <c r="A3" s="64"/>
      <c r="B3" s="183" t="s">
        <v>57</v>
      </c>
      <c r="C3" s="183"/>
      <c r="D3" s="183"/>
      <c r="E3" s="60"/>
      <c r="F3" s="60"/>
      <c r="G3" s="60"/>
      <c r="H3" s="60"/>
      <c r="I3" s="60"/>
      <c r="J3" s="60"/>
      <c r="K3" s="60"/>
      <c r="L3" s="60"/>
      <c r="M3" s="60"/>
      <c r="N3" s="60"/>
      <c r="O3" s="60"/>
      <c r="P3" s="60"/>
      <c r="Q3" s="60"/>
      <c r="R3" s="60"/>
      <c r="S3" s="60"/>
      <c r="T3" s="60"/>
      <c r="U3" s="60"/>
      <c r="V3" s="60"/>
      <c r="W3" s="60"/>
      <c r="X3" s="60"/>
      <c r="Y3" s="60"/>
      <c r="Z3" s="60"/>
      <c r="AA3" s="60"/>
      <c r="AB3" s="60"/>
      <c r="AC3" s="60"/>
      <c r="AD3" s="60"/>
      <c r="AE3" s="60"/>
      <c r="AF3" s="60"/>
      <c r="AG3" s="60"/>
      <c r="AH3" s="60"/>
      <c r="AI3" s="60"/>
      <c r="AJ3" s="60"/>
      <c r="AK3" s="60"/>
      <c r="AL3" s="60"/>
      <c r="AM3" s="60"/>
      <c r="AN3" s="60"/>
      <c r="AO3" s="60"/>
      <c r="AP3" s="60"/>
      <c r="AQ3" s="60"/>
      <c r="AR3" s="60"/>
      <c r="AS3" s="60"/>
      <c r="AT3" s="60"/>
      <c r="AU3" s="60"/>
      <c r="AV3" s="60"/>
      <c r="AW3" s="60" t="s">
        <v>46</v>
      </c>
      <c r="AX3" s="184"/>
      <c r="AY3" s="184"/>
    </row>
    <row r="4" spans="1:53" ht="76.05" customHeight="1">
      <c r="B4" s="185"/>
      <c r="C4" s="186"/>
      <c r="D4" s="187"/>
      <c r="E4" s="188" t="s">
        <v>14</v>
      </c>
      <c r="F4" s="189"/>
      <c r="G4" s="190"/>
      <c r="H4" s="188" t="s">
        <v>13</v>
      </c>
      <c r="I4" s="189"/>
      <c r="J4" s="190"/>
      <c r="K4" s="188" t="s">
        <v>12</v>
      </c>
      <c r="L4" s="189"/>
      <c r="M4" s="190"/>
      <c r="N4" s="188" t="s">
        <v>11</v>
      </c>
      <c r="O4" s="189"/>
      <c r="P4" s="190"/>
      <c r="Q4" s="198" t="s">
        <v>10</v>
      </c>
      <c r="R4" s="199"/>
      <c r="S4" s="200"/>
      <c r="T4" s="188" t="s">
        <v>9</v>
      </c>
      <c r="U4" s="189"/>
      <c r="V4" s="190"/>
      <c r="W4" s="192" t="s">
        <v>43</v>
      </c>
      <c r="X4" s="193"/>
      <c r="Y4" s="194"/>
      <c r="Z4" s="188" t="s">
        <v>6</v>
      </c>
      <c r="AA4" s="189"/>
      <c r="AB4" s="190"/>
      <c r="AC4" s="188" t="s">
        <v>50</v>
      </c>
      <c r="AD4" s="189"/>
      <c r="AE4" s="190"/>
      <c r="AF4" s="188" t="s">
        <v>51</v>
      </c>
      <c r="AG4" s="189"/>
      <c r="AH4" s="190"/>
      <c r="AI4" s="188" t="s">
        <v>52</v>
      </c>
      <c r="AJ4" s="189"/>
      <c r="AK4" s="190"/>
      <c r="AL4" s="188" t="s">
        <v>53</v>
      </c>
      <c r="AM4" s="189"/>
      <c r="AN4" s="190"/>
      <c r="AO4" s="188" t="s">
        <v>54</v>
      </c>
      <c r="AP4" s="189"/>
      <c r="AQ4" s="190"/>
      <c r="AR4" s="192" t="s">
        <v>44</v>
      </c>
      <c r="AS4" s="193"/>
      <c r="AT4" s="194"/>
      <c r="AU4" s="235" t="s">
        <v>45</v>
      </c>
      <c r="AV4" s="236"/>
      <c r="AW4" s="237"/>
      <c r="AX4" s="191"/>
      <c r="AY4" s="191"/>
      <c r="AZ4" s="65"/>
      <c r="BA4" s="65"/>
    </row>
    <row r="5" spans="1:53" ht="88.5" customHeight="1">
      <c r="B5" s="210"/>
      <c r="C5" s="189"/>
      <c r="D5" s="190"/>
      <c r="E5" s="97" t="s">
        <v>47</v>
      </c>
      <c r="F5" s="98" t="s">
        <v>48</v>
      </c>
      <c r="G5" s="99" t="s">
        <v>49</v>
      </c>
      <c r="H5" s="97" t="s">
        <v>47</v>
      </c>
      <c r="I5" s="98" t="s">
        <v>48</v>
      </c>
      <c r="J5" s="99" t="s">
        <v>49</v>
      </c>
      <c r="K5" s="97" t="s">
        <v>47</v>
      </c>
      <c r="L5" s="98" t="s">
        <v>48</v>
      </c>
      <c r="M5" s="99" t="s">
        <v>49</v>
      </c>
      <c r="N5" s="97" t="s">
        <v>47</v>
      </c>
      <c r="O5" s="98" t="s">
        <v>48</v>
      </c>
      <c r="P5" s="99" t="s">
        <v>49</v>
      </c>
      <c r="Q5" s="97" t="s">
        <v>47</v>
      </c>
      <c r="R5" s="98" t="s">
        <v>48</v>
      </c>
      <c r="S5" s="99" t="s">
        <v>49</v>
      </c>
      <c r="T5" s="97" t="s">
        <v>47</v>
      </c>
      <c r="U5" s="98" t="s">
        <v>48</v>
      </c>
      <c r="V5" s="99" t="s">
        <v>49</v>
      </c>
      <c r="W5" s="97" t="s">
        <v>47</v>
      </c>
      <c r="X5" s="98" t="s">
        <v>48</v>
      </c>
      <c r="Y5" s="99" t="s">
        <v>49</v>
      </c>
      <c r="Z5" s="97" t="s">
        <v>47</v>
      </c>
      <c r="AA5" s="98" t="s">
        <v>48</v>
      </c>
      <c r="AB5" s="99" t="s">
        <v>49</v>
      </c>
      <c r="AC5" s="97" t="s">
        <v>47</v>
      </c>
      <c r="AD5" s="98" t="s">
        <v>48</v>
      </c>
      <c r="AE5" s="99" t="s">
        <v>49</v>
      </c>
      <c r="AF5" s="97" t="s">
        <v>47</v>
      </c>
      <c r="AG5" s="98" t="s">
        <v>48</v>
      </c>
      <c r="AH5" s="99" t="s">
        <v>49</v>
      </c>
      <c r="AI5" s="97" t="s">
        <v>47</v>
      </c>
      <c r="AJ5" s="98" t="s">
        <v>48</v>
      </c>
      <c r="AK5" s="99" t="s">
        <v>49</v>
      </c>
      <c r="AL5" s="97" t="s">
        <v>47</v>
      </c>
      <c r="AM5" s="98" t="s">
        <v>48</v>
      </c>
      <c r="AN5" s="99" t="s">
        <v>49</v>
      </c>
      <c r="AO5" s="97" t="s">
        <v>47</v>
      </c>
      <c r="AP5" s="98" t="s">
        <v>48</v>
      </c>
      <c r="AQ5" s="99" t="s">
        <v>49</v>
      </c>
      <c r="AR5" s="97" t="s">
        <v>47</v>
      </c>
      <c r="AS5" s="98" t="s">
        <v>48</v>
      </c>
      <c r="AT5" s="99" t="s">
        <v>49</v>
      </c>
      <c r="AU5" s="97" t="s">
        <v>47</v>
      </c>
      <c r="AV5" s="98" t="s">
        <v>48</v>
      </c>
      <c r="AW5" s="99" t="s">
        <v>49</v>
      </c>
      <c r="AX5" s="65"/>
      <c r="AY5" s="65"/>
      <c r="AZ5" s="65"/>
      <c r="BA5" s="65"/>
    </row>
    <row r="6" spans="1:53" ht="99" customHeight="1">
      <c r="B6" s="238" t="s">
        <v>18</v>
      </c>
      <c r="C6" s="239"/>
      <c r="D6" s="240"/>
      <c r="E6" s="92">
        <f>E12+E17+E23</f>
        <v>5600</v>
      </c>
      <c r="F6" s="93">
        <f>F12+F17+F23</f>
        <v>3687.9</v>
      </c>
      <c r="G6" s="88">
        <f>F6/E6</f>
        <v>0.6585535714285714</v>
      </c>
      <c r="H6" s="82">
        <f>H12+H17+H23</f>
        <v>6000</v>
      </c>
      <c r="I6" s="81">
        <f>I12+I17+I23</f>
        <v>5234.3999999999996</v>
      </c>
      <c r="J6" s="88">
        <f>I6/H6</f>
        <v>0.87239999999999995</v>
      </c>
      <c r="K6" s="81">
        <f>K12+K17+K23</f>
        <v>5600</v>
      </c>
      <c r="L6" s="81">
        <f>L12+L17+L23</f>
        <v>5572.2</v>
      </c>
      <c r="M6" s="88">
        <f>L6/K6</f>
        <v>0.99503571428571425</v>
      </c>
      <c r="N6" s="81">
        <f>N12+N17+N23</f>
        <v>6000</v>
      </c>
      <c r="O6" s="81">
        <f>O12+O17+O23</f>
        <v>3429.2</v>
      </c>
      <c r="P6" s="88">
        <f>O6/N6</f>
        <v>0.57153333333333334</v>
      </c>
      <c r="Q6" s="117">
        <f>Q12+Q17+Q23</f>
        <v>5600</v>
      </c>
      <c r="R6" s="81">
        <f>R12+R17+R23</f>
        <v>3995</v>
      </c>
      <c r="S6" s="88">
        <f>R6/Q6</f>
        <v>0.71339285714285716</v>
      </c>
      <c r="T6" s="81">
        <f>T12+T17+T23</f>
        <v>6000</v>
      </c>
      <c r="U6" s="81">
        <f>U12+U17+U23</f>
        <v>3815</v>
      </c>
      <c r="V6" s="88">
        <f>U6/T6</f>
        <v>0.63583333333333336</v>
      </c>
      <c r="W6" s="81">
        <f>W12+W17+W23</f>
        <v>34800</v>
      </c>
      <c r="X6" s="81">
        <f>X12+X17+X23</f>
        <v>25733.7</v>
      </c>
      <c r="Y6" s="88">
        <f>X6/W6</f>
        <v>0.73947413793103456</v>
      </c>
      <c r="Z6" s="81">
        <f>Z12+Z17+Z23</f>
        <v>5600</v>
      </c>
      <c r="AA6" s="81">
        <f>AA12+AA17+AA23</f>
        <v>0</v>
      </c>
      <c r="AB6" s="88">
        <f>AA6/Z6</f>
        <v>0</v>
      </c>
      <c r="AC6" s="81">
        <f>AC12+AC17+AC23</f>
        <v>6000</v>
      </c>
      <c r="AD6" s="81">
        <f>AD12+AD17+AD23</f>
        <v>0</v>
      </c>
      <c r="AE6" s="88">
        <f>AD6/AC6</f>
        <v>0</v>
      </c>
      <c r="AF6" s="81">
        <f>AF12+AF17+AF23</f>
        <v>5600</v>
      </c>
      <c r="AG6" s="81">
        <f>AG12+AG17+AG23</f>
        <v>0</v>
      </c>
      <c r="AH6" s="88">
        <f>AG6/AF6</f>
        <v>0</v>
      </c>
      <c r="AI6" s="81">
        <f>AI12+AI17+AI23</f>
        <v>6000</v>
      </c>
      <c r="AJ6" s="81">
        <f>AJ12+AJ17+AJ23</f>
        <v>0</v>
      </c>
      <c r="AK6" s="88">
        <f>AJ6/AI6</f>
        <v>0</v>
      </c>
      <c r="AL6" s="81">
        <f>AL12+AL17+AL23</f>
        <v>5600</v>
      </c>
      <c r="AM6" s="81">
        <f>AM12+AM17+AM23</f>
        <v>0</v>
      </c>
      <c r="AN6" s="88">
        <f>AM6/AL6</f>
        <v>0</v>
      </c>
      <c r="AO6" s="81">
        <f>AO12+AO17+AO23</f>
        <v>6000</v>
      </c>
      <c r="AP6" s="81">
        <f>AP12+AP17+AP23</f>
        <v>0</v>
      </c>
      <c r="AQ6" s="88">
        <f>AP6/AO6</f>
        <v>0</v>
      </c>
      <c r="AR6" s="81">
        <f>AR12+AR17+AR23</f>
        <v>34800</v>
      </c>
      <c r="AS6" s="81">
        <f>AS12+AS17+AS23</f>
        <v>0</v>
      </c>
      <c r="AT6" s="88">
        <f>AS6/AR6</f>
        <v>0</v>
      </c>
      <c r="AU6" s="81">
        <f>AU12+AU17+AU23</f>
        <v>69600</v>
      </c>
      <c r="AV6" s="81">
        <f>AV12+AV17+AV23</f>
        <v>25733.7</v>
      </c>
      <c r="AW6" s="100">
        <f>AV6/AU6</f>
        <v>0.36973706896551728</v>
      </c>
      <c r="AX6" s="65"/>
      <c r="AY6" s="65"/>
      <c r="AZ6" s="65"/>
      <c r="BA6" s="65"/>
    </row>
    <row r="7" spans="1:53" ht="80.25" customHeight="1">
      <c r="B7" s="214" t="s">
        <v>55</v>
      </c>
      <c r="C7" s="215"/>
      <c r="D7" s="216"/>
      <c r="E7" s="78" t="s">
        <v>5</v>
      </c>
      <c r="F7" s="95" t="s">
        <v>4</v>
      </c>
      <c r="G7" s="111" t="s">
        <v>56</v>
      </c>
      <c r="H7" s="74" t="s">
        <v>5</v>
      </c>
      <c r="I7" s="68" t="s">
        <v>4</v>
      </c>
      <c r="J7" s="111" t="s">
        <v>56</v>
      </c>
      <c r="K7" s="68" t="s">
        <v>5</v>
      </c>
      <c r="L7" s="68" t="s">
        <v>4</v>
      </c>
      <c r="M7" s="111" t="s">
        <v>56</v>
      </c>
      <c r="N7" s="68" t="s">
        <v>5</v>
      </c>
      <c r="O7" s="68" t="s">
        <v>4</v>
      </c>
      <c r="P7" s="111" t="s">
        <v>56</v>
      </c>
      <c r="Q7" s="78" t="s">
        <v>5</v>
      </c>
      <c r="R7" s="68" t="s">
        <v>4</v>
      </c>
      <c r="S7" s="111" t="s">
        <v>56</v>
      </c>
      <c r="T7" s="68" t="s">
        <v>5</v>
      </c>
      <c r="U7" s="68" t="s">
        <v>4</v>
      </c>
      <c r="V7" s="111" t="s">
        <v>56</v>
      </c>
      <c r="W7" s="68" t="s">
        <v>5</v>
      </c>
      <c r="X7" s="68" t="s">
        <v>4</v>
      </c>
      <c r="Y7" s="111" t="s">
        <v>56</v>
      </c>
      <c r="Z7" s="68" t="s">
        <v>5</v>
      </c>
      <c r="AA7" s="68" t="s">
        <v>4</v>
      </c>
      <c r="AB7" s="111" t="s">
        <v>56</v>
      </c>
      <c r="AC7" s="68" t="s">
        <v>5</v>
      </c>
      <c r="AD7" s="68" t="s">
        <v>4</v>
      </c>
      <c r="AE7" s="111" t="s">
        <v>56</v>
      </c>
      <c r="AF7" s="68" t="s">
        <v>5</v>
      </c>
      <c r="AG7" s="68" t="s">
        <v>4</v>
      </c>
      <c r="AH7" s="111" t="s">
        <v>56</v>
      </c>
      <c r="AI7" s="68" t="s">
        <v>5</v>
      </c>
      <c r="AJ7" s="68" t="s">
        <v>4</v>
      </c>
      <c r="AK7" s="111" t="s">
        <v>56</v>
      </c>
      <c r="AL7" s="68" t="s">
        <v>5</v>
      </c>
      <c r="AM7" s="68" t="s">
        <v>4</v>
      </c>
      <c r="AN7" s="111" t="s">
        <v>56</v>
      </c>
      <c r="AO7" s="68" t="s">
        <v>5</v>
      </c>
      <c r="AP7" s="68" t="s">
        <v>4</v>
      </c>
      <c r="AQ7" s="111" t="s">
        <v>56</v>
      </c>
      <c r="AR7" s="68" t="s">
        <v>5</v>
      </c>
      <c r="AS7" s="68" t="s">
        <v>4</v>
      </c>
      <c r="AT7" s="111" t="s">
        <v>56</v>
      </c>
      <c r="AU7" s="68" t="s">
        <v>5</v>
      </c>
      <c r="AV7" s="68" t="s">
        <v>4</v>
      </c>
      <c r="AW7" s="111" t="s">
        <v>56</v>
      </c>
      <c r="AX7" s="65"/>
      <c r="AY7" s="65"/>
      <c r="BA7" s="54"/>
    </row>
    <row r="8" spans="1:53" ht="80.25" customHeight="1">
      <c r="B8" s="201" t="s">
        <v>0</v>
      </c>
      <c r="C8" s="202"/>
      <c r="D8" s="203"/>
      <c r="E8" s="76">
        <v>900</v>
      </c>
      <c r="F8" s="89">
        <v>400</v>
      </c>
      <c r="G8" s="96">
        <f>F8/E8</f>
        <v>0.44444444444444442</v>
      </c>
      <c r="H8" s="72">
        <v>900</v>
      </c>
      <c r="I8" s="67">
        <v>0</v>
      </c>
      <c r="J8" s="96">
        <f>I8/H8</f>
        <v>0</v>
      </c>
      <c r="K8" s="67">
        <v>900</v>
      </c>
      <c r="L8" s="67">
        <v>0</v>
      </c>
      <c r="M8" s="96">
        <f>L8/K8</f>
        <v>0</v>
      </c>
      <c r="N8" s="67">
        <v>900</v>
      </c>
      <c r="O8" s="67">
        <v>0</v>
      </c>
      <c r="P8" s="96">
        <f>O8/N8</f>
        <v>0</v>
      </c>
      <c r="Q8" s="76">
        <v>900</v>
      </c>
      <c r="R8" s="67">
        <v>414</v>
      </c>
      <c r="S8" s="96">
        <f>R8/Q8</f>
        <v>0.46</v>
      </c>
      <c r="T8" s="67">
        <v>900</v>
      </c>
      <c r="U8" s="67">
        <v>0</v>
      </c>
      <c r="V8" s="96">
        <f>U8/T8</f>
        <v>0</v>
      </c>
      <c r="W8" s="67">
        <f t="shared" ref="W8:X10" si="0">E8+H8+K8+N8+Q8+T8</f>
        <v>5400</v>
      </c>
      <c r="X8" s="67">
        <f t="shared" si="0"/>
        <v>814</v>
      </c>
      <c r="Y8" s="96">
        <f>X8/W8</f>
        <v>0.15074074074074073</v>
      </c>
      <c r="Z8" s="67">
        <v>900</v>
      </c>
      <c r="AA8" s="67"/>
      <c r="AB8" s="96">
        <f>AA8/Z8</f>
        <v>0</v>
      </c>
      <c r="AC8" s="67">
        <v>900</v>
      </c>
      <c r="AD8" s="67"/>
      <c r="AE8" s="96">
        <f>AD8/AC8</f>
        <v>0</v>
      </c>
      <c r="AF8" s="67">
        <v>900</v>
      </c>
      <c r="AG8" s="67"/>
      <c r="AH8" s="96">
        <f>AG8/AF8</f>
        <v>0</v>
      </c>
      <c r="AI8" s="67">
        <v>900</v>
      </c>
      <c r="AJ8" s="67"/>
      <c r="AK8" s="96">
        <f>AJ8/AI8</f>
        <v>0</v>
      </c>
      <c r="AL8" s="67">
        <v>900</v>
      </c>
      <c r="AM8" s="67"/>
      <c r="AN8" s="96">
        <f>AM8/AL8</f>
        <v>0</v>
      </c>
      <c r="AO8" s="67">
        <v>900</v>
      </c>
      <c r="AP8" s="67"/>
      <c r="AQ8" s="96">
        <f>AP8/AO8</f>
        <v>0</v>
      </c>
      <c r="AR8" s="67">
        <f>SUM(Z8:AP8)</f>
        <v>5400</v>
      </c>
      <c r="AS8" s="67">
        <f>AA8+AD8+AG8+AJ8+AM8+AP8</f>
        <v>0</v>
      </c>
      <c r="AT8" s="96">
        <f>AS8/AR8</f>
        <v>0</v>
      </c>
      <c r="AU8" s="67">
        <f t="shared" ref="AU8:AV11" si="1">W8+AR8</f>
        <v>10800</v>
      </c>
      <c r="AV8" s="67">
        <f t="shared" si="1"/>
        <v>814</v>
      </c>
      <c r="AW8" s="101">
        <f>AV8/AU8</f>
        <v>7.5370370370370365E-2</v>
      </c>
      <c r="AX8" s="191"/>
      <c r="BA8" s="54"/>
    </row>
    <row r="9" spans="1:53" ht="80.25" customHeight="1">
      <c r="B9" s="201" t="s">
        <v>3</v>
      </c>
      <c r="C9" s="202"/>
      <c r="D9" s="203"/>
      <c r="E9" s="76">
        <v>200</v>
      </c>
      <c r="F9" s="67">
        <v>0</v>
      </c>
      <c r="G9" s="96">
        <f>F9/E9</f>
        <v>0</v>
      </c>
      <c r="H9" s="72">
        <v>200</v>
      </c>
      <c r="I9" s="67">
        <v>200</v>
      </c>
      <c r="J9" s="96">
        <f>I9/H9</f>
        <v>1</v>
      </c>
      <c r="K9" s="67">
        <v>200</v>
      </c>
      <c r="L9" s="67">
        <v>0</v>
      </c>
      <c r="M9" s="96">
        <f>L9/K9</f>
        <v>0</v>
      </c>
      <c r="N9" s="67">
        <v>200</v>
      </c>
      <c r="O9" s="67">
        <v>0</v>
      </c>
      <c r="P9" s="96">
        <f>O9/N9</f>
        <v>0</v>
      </c>
      <c r="Q9" s="76">
        <v>200</v>
      </c>
      <c r="R9" s="67">
        <v>0</v>
      </c>
      <c r="S9" s="96">
        <f>R9/Q9</f>
        <v>0</v>
      </c>
      <c r="T9" s="67">
        <v>200</v>
      </c>
      <c r="U9" s="67">
        <v>0</v>
      </c>
      <c r="V9" s="96">
        <f>U9/T9</f>
        <v>0</v>
      </c>
      <c r="W9" s="67">
        <f t="shared" si="0"/>
        <v>1200</v>
      </c>
      <c r="X9" s="67">
        <f t="shared" si="0"/>
        <v>200</v>
      </c>
      <c r="Y9" s="96">
        <f>X9/W9</f>
        <v>0.16666666666666666</v>
      </c>
      <c r="Z9" s="67">
        <v>200</v>
      </c>
      <c r="AA9" s="67"/>
      <c r="AB9" s="96">
        <f>AA9/Z9</f>
        <v>0</v>
      </c>
      <c r="AC9" s="67">
        <v>200</v>
      </c>
      <c r="AD9" s="67"/>
      <c r="AE9" s="96">
        <f>AD9/AC9</f>
        <v>0</v>
      </c>
      <c r="AF9" s="67">
        <v>200</v>
      </c>
      <c r="AG9" s="67"/>
      <c r="AH9" s="96">
        <f>AG9/AF9</f>
        <v>0</v>
      </c>
      <c r="AI9" s="67">
        <v>200</v>
      </c>
      <c r="AJ9" s="67"/>
      <c r="AK9" s="96">
        <f>AJ9/AI9</f>
        <v>0</v>
      </c>
      <c r="AL9" s="67">
        <v>200</v>
      </c>
      <c r="AM9" s="67"/>
      <c r="AN9" s="96">
        <f>AM9/AL9</f>
        <v>0</v>
      </c>
      <c r="AO9" s="67">
        <v>200</v>
      </c>
      <c r="AP9" s="67"/>
      <c r="AQ9" s="96">
        <f>AP9/AO9</f>
        <v>0</v>
      </c>
      <c r="AR9" s="67">
        <f>Z9+AC9+AF9+AI9+AL9+AO9</f>
        <v>1200</v>
      </c>
      <c r="AS9" s="67">
        <f>AA9+AD9+AG9+AJ9+AM9+AP9</f>
        <v>0</v>
      </c>
      <c r="AT9" s="96">
        <f>AS9/AR9</f>
        <v>0</v>
      </c>
      <c r="AU9" s="67">
        <f t="shared" si="1"/>
        <v>2400</v>
      </c>
      <c r="AV9" s="67">
        <f t="shared" si="1"/>
        <v>200</v>
      </c>
      <c r="AW9" s="101">
        <f>AV9/AU9</f>
        <v>8.3333333333333329E-2</v>
      </c>
      <c r="AX9" s="191"/>
      <c r="BA9" s="54"/>
    </row>
    <row r="10" spans="1:53" ht="80.25" customHeight="1" outlineLevel="1">
      <c r="B10" s="201" t="s">
        <v>2</v>
      </c>
      <c r="C10" s="202"/>
      <c r="D10" s="203"/>
      <c r="E10" s="76"/>
      <c r="F10" s="67">
        <v>60</v>
      </c>
      <c r="G10" s="96" t="e">
        <f>F10/E10</f>
        <v>#DIV/0!</v>
      </c>
      <c r="H10" s="72"/>
      <c r="I10" s="67">
        <v>0</v>
      </c>
      <c r="J10" s="96" t="e">
        <f>I10/H10</f>
        <v>#DIV/0!</v>
      </c>
      <c r="K10" s="67"/>
      <c r="L10" s="67">
        <v>30</v>
      </c>
      <c r="M10" s="96" t="e">
        <f>L10/K10</f>
        <v>#DIV/0!</v>
      </c>
      <c r="N10" s="67"/>
      <c r="O10" s="67">
        <v>180</v>
      </c>
      <c r="P10" s="96" t="e">
        <f>O10/N10</f>
        <v>#DIV/0!</v>
      </c>
      <c r="Q10" s="76"/>
      <c r="R10" s="67">
        <v>0</v>
      </c>
      <c r="S10" s="96" t="e">
        <f>R10/Q10</f>
        <v>#DIV/0!</v>
      </c>
      <c r="T10" s="67"/>
      <c r="U10" s="67">
        <v>0</v>
      </c>
      <c r="V10" s="96" t="e">
        <f>U10/T10</f>
        <v>#DIV/0!</v>
      </c>
      <c r="W10" s="67">
        <f t="shared" si="0"/>
        <v>0</v>
      </c>
      <c r="X10" s="67">
        <f t="shared" si="0"/>
        <v>270</v>
      </c>
      <c r="Y10" s="96" t="e">
        <f>X10/W10</f>
        <v>#DIV/0!</v>
      </c>
      <c r="Z10" s="67"/>
      <c r="AA10" s="67"/>
      <c r="AB10" s="96" t="e">
        <f>AA10/Z10</f>
        <v>#DIV/0!</v>
      </c>
      <c r="AC10" s="67"/>
      <c r="AD10" s="67"/>
      <c r="AE10" s="96" t="e">
        <f>AD10/AC10</f>
        <v>#DIV/0!</v>
      </c>
      <c r="AF10" s="67"/>
      <c r="AG10" s="67"/>
      <c r="AH10" s="96" t="e">
        <f>AG10/AF10</f>
        <v>#DIV/0!</v>
      </c>
      <c r="AI10" s="67"/>
      <c r="AJ10" s="67"/>
      <c r="AK10" s="96" t="e">
        <f>AJ10/AI10</f>
        <v>#DIV/0!</v>
      </c>
      <c r="AL10" s="67"/>
      <c r="AM10" s="67"/>
      <c r="AN10" s="96" t="e">
        <f>AM10/AL10</f>
        <v>#DIV/0!</v>
      </c>
      <c r="AO10" s="67"/>
      <c r="AP10" s="67"/>
      <c r="AQ10" s="96" t="e">
        <f>AP10/AO10</f>
        <v>#DIV/0!</v>
      </c>
      <c r="AR10" s="67">
        <f>Z10+AC10+AF10+AI10+AL10+AO10</f>
        <v>0</v>
      </c>
      <c r="AS10" s="67">
        <f>AA10+AD10+AG10+AJ10+AM10+AP10</f>
        <v>0</v>
      </c>
      <c r="AT10" s="96" t="e">
        <f>AS10/AR10</f>
        <v>#DIV/0!</v>
      </c>
      <c r="AU10" s="67">
        <f t="shared" si="1"/>
        <v>0</v>
      </c>
      <c r="AV10" s="67">
        <f t="shared" si="1"/>
        <v>270</v>
      </c>
      <c r="AW10" s="101" t="e">
        <f>AV10/AU10</f>
        <v>#DIV/0!</v>
      </c>
      <c r="BA10" s="54"/>
    </row>
    <row r="11" spans="1:53" ht="80.25" customHeight="1" outlineLevel="1">
      <c r="B11" s="201" t="s">
        <v>42</v>
      </c>
      <c r="C11" s="202"/>
      <c r="D11" s="203"/>
      <c r="E11" s="77"/>
      <c r="F11" s="67">
        <v>70</v>
      </c>
      <c r="G11" s="96" t="e">
        <f>F11/E11</f>
        <v>#DIV/0!</v>
      </c>
      <c r="H11" s="73"/>
      <c r="I11" s="71">
        <v>65</v>
      </c>
      <c r="J11" s="96" t="e">
        <f>I11/H11</f>
        <v>#DIV/0!</v>
      </c>
      <c r="K11" s="71"/>
      <c r="L11" s="71">
        <v>65</v>
      </c>
      <c r="M11" s="96" t="e">
        <f>L11/K11</f>
        <v>#DIV/0!</v>
      </c>
      <c r="N11" s="71"/>
      <c r="O11" s="71">
        <v>65</v>
      </c>
      <c r="P11" s="96" t="e">
        <f>O11/N11</f>
        <v>#DIV/0!</v>
      </c>
      <c r="Q11" s="77"/>
      <c r="R11" s="71">
        <v>85</v>
      </c>
      <c r="S11" s="96" t="e">
        <f>R11/Q11</f>
        <v>#DIV/0!</v>
      </c>
      <c r="T11" s="71"/>
      <c r="U11" s="71">
        <v>85</v>
      </c>
      <c r="V11" s="96" t="e">
        <f>U11/T11</f>
        <v>#DIV/0!</v>
      </c>
      <c r="W11" s="71"/>
      <c r="X11" s="71">
        <f>F11+I11+L11+O11+R11+U11</f>
        <v>435</v>
      </c>
      <c r="Y11" s="96" t="e">
        <f>X11/W11</f>
        <v>#DIV/0!</v>
      </c>
      <c r="Z11" s="71"/>
      <c r="AA11" s="71"/>
      <c r="AB11" s="96" t="e">
        <f>AA11/Z11</f>
        <v>#DIV/0!</v>
      </c>
      <c r="AC11" s="71"/>
      <c r="AD11" s="71"/>
      <c r="AE11" s="96" t="e">
        <f>AD11/AC11</f>
        <v>#DIV/0!</v>
      </c>
      <c r="AF11" s="71"/>
      <c r="AG11" s="71"/>
      <c r="AH11" s="96" t="e">
        <f>AG11/AF11</f>
        <v>#DIV/0!</v>
      </c>
      <c r="AI11" s="71"/>
      <c r="AJ11" s="71"/>
      <c r="AK11" s="96" t="e">
        <f>AJ11/AI11</f>
        <v>#DIV/0!</v>
      </c>
      <c r="AL11" s="71"/>
      <c r="AM11" s="71"/>
      <c r="AN11" s="96" t="e">
        <f>AM11/AL11</f>
        <v>#DIV/0!</v>
      </c>
      <c r="AO11" s="71"/>
      <c r="AP11" s="71"/>
      <c r="AQ11" s="96" t="e">
        <f>AP11/AO11</f>
        <v>#DIV/0!</v>
      </c>
      <c r="AR11" s="71"/>
      <c r="AS11" s="71">
        <f>AA11+AD11+AG11+AJ11+AM11+AP11</f>
        <v>0</v>
      </c>
      <c r="AT11" s="96" t="e">
        <f>AS11/AR11</f>
        <v>#DIV/0!</v>
      </c>
      <c r="AU11" s="71">
        <f t="shared" si="1"/>
        <v>0</v>
      </c>
      <c r="AV11" s="71">
        <f t="shared" si="1"/>
        <v>435</v>
      </c>
      <c r="AW11" s="101" t="e">
        <f>AV11/AU11</f>
        <v>#DIV/0!</v>
      </c>
      <c r="BA11" s="54"/>
    </row>
    <row r="12" spans="1:53" ht="80.25" customHeight="1">
      <c r="B12" s="241" t="s">
        <v>15</v>
      </c>
      <c r="C12" s="242"/>
      <c r="D12" s="243"/>
      <c r="E12" s="84">
        <f t="shared" ref="E12:Q12" si="2">E8+E9+E10+E11</f>
        <v>1100</v>
      </c>
      <c r="F12" s="90">
        <f>F8+F9+F10+F11</f>
        <v>530</v>
      </c>
      <c r="G12" s="91">
        <f>F12/E12</f>
        <v>0.48181818181818181</v>
      </c>
      <c r="H12" s="85">
        <f t="shared" si="2"/>
        <v>1100</v>
      </c>
      <c r="I12" s="86">
        <f t="shared" si="2"/>
        <v>265</v>
      </c>
      <c r="J12" s="91">
        <f>I12/H12</f>
        <v>0.24090909090909091</v>
      </c>
      <c r="K12" s="86">
        <f t="shared" si="2"/>
        <v>1100</v>
      </c>
      <c r="L12" s="86">
        <f>L8+L9+L10+L11</f>
        <v>95</v>
      </c>
      <c r="M12" s="91">
        <f>L12/K12</f>
        <v>8.6363636363636365E-2</v>
      </c>
      <c r="N12" s="86">
        <f t="shared" si="2"/>
        <v>1100</v>
      </c>
      <c r="O12" s="86">
        <f t="shared" si="2"/>
        <v>245</v>
      </c>
      <c r="P12" s="91">
        <f>O12/N12</f>
        <v>0.22272727272727272</v>
      </c>
      <c r="Q12" s="84">
        <f t="shared" si="2"/>
        <v>1100</v>
      </c>
      <c r="R12" s="86">
        <f>R8+R9+R10+R11</f>
        <v>499</v>
      </c>
      <c r="S12" s="91">
        <f>R12/Q12</f>
        <v>0.45363636363636362</v>
      </c>
      <c r="T12" s="86">
        <f t="shared" ref="T12" si="3">T8+T9+T10</f>
        <v>1100</v>
      </c>
      <c r="U12" s="86">
        <f>U8+U9+U10+U11</f>
        <v>85</v>
      </c>
      <c r="V12" s="91">
        <f>U12/T12</f>
        <v>7.7272727272727271E-2</v>
      </c>
      <c r="W12" s="86">
        <f t="shared" ref="W12:AV12" si="4">W8+W9+W10+W11</f>
        <v>6600</v>
      </c>
      <c r="X12" s="86">
        <f>X8+X9+X10+X11</f>
        <v>1719</v>
      </c>
      <c r="Y12" s="96">
        <f>X12/W12</f>
        <v>0.26045454545454544</v>
      </c>
      <c r="Z12" s="86">
        <f t="shared" si="4"/>
        <v>1100</v>
      </c>
      <c r="AA12" s="86">
        <f t="shared" si="4"/>
        <v>0</v>
      </c>
      <c r="AB12" s="91">
        <f>AA12/Z12</f>
        <v>0</v>
      </c>
      <c r="AC12" s="86">
        <f t="shared" si="4"/>
        <v>1100</v>
      </c>
      <c r="AD12" s="86">
        <f t="shared" si="4"/>
        <v>0</v>
      </c>
      <c r="AE12" s="91">
        <f>AD12/AC12</f>
        <v>0</v>
      </c>
      <c r="AF12" s="86">
        <f t="shared" si="4"/>
        <v>1100</v>
      </c>
      <c r="AG12" s="86">
        <f t="shared" si="4"/>
        <v>0</v>
      </c>
      <c r="AH12" s="91">
        <f>AG12/AF12</f>
        <v>0</v>
      </c>
      <c r="AI12" s="86">
        <f t="shared" si="4"/>
        <v>1100</v>
      </c>
      <c r="AJ12" s="86">
        <f t="shared" si="4"/>
        <v>0</v>
      </c>
      <c r="AK12" s="91">
        <f>AJ12/AI12</f>
        <v>0</v>
      </c>
      <c r="AL12" s="86">
        <f t="shared" si="4"/>
        <v>1100</v>
      </c>
      <c r="AM12" s="86">
        <f t="shared" si="4"/>
        <v>0</v>
      </c>
      <c r="AN12" s="91">
        <f>AM12/AL12</f>
        <v>0</v>
      </c>
      <c r="AO12" s="86">
        <f t="shared" si="4"/>
        <v>1100</v>
      </c>
      <c r="AP12" s="86">
        <f t="shared" si="4"/>
        <v>0</v>
      </c>
      <c r="AQ12" s="91">
        <f>AP12/AO12</f>
        <v>0</v>
      </c>
      <c r="AR12" s="86">
        <f t="shared" si="4"/>
        <v>6600</v>
      </c>
      <c r="AS12" s="86">
        <f>AS8+AS9+AS10+AS11</f>
        <v>0</v>
      </c>
      <c r="AT12" s="96">
        <f>AS12/AR12</f>
        <v>0</v>
      </c>
      <c r="AU12" s="86">
        <f t="shared" si="4"/>
        <v>13200</v>
      </c>
      <c r="AV12" s="86">
        <f t="shared" si="4"/>
        <v>1719</v>
      </c>
      <c r="AW12" s="101">
        <f>AV12/AU12</f>
        <v>0.13022727272727272</v>
      </c>
      <c r="AX12" s="191"/>
      <c r="AY12" s="191"/>
      <c r="BA12" s="54"/>
    </row>
    <row r="13" spans="1:53" ht="80.25" customHeight="1" outlineLevel="1">
      <c r="B13" s="244" t="s">
        <v>8</v>
      </c>
      <c r="C13" s="245"/>
      <c r="D13" s="246"/>
      <c r="E13" s="106" t="s">
        <v>5</v>
      </c>
      <c r="F13" s="107" t="s">
        <v>4</v>
      </c>
      <c r="G13" s="108" t="s">
        <v>56</v>
      </c>
      <c r="H13" s="109" t="s">
        <v>5</v>
      </c>
      <c r="I13" s="110" t="s">
        <v>4</v>
      </c>
      <c r="J13" s="108" t="s">
        <v>56</v>
      </c>
      <c r="K13" s="110" t="s">
        <v>5</v>
      </c>
      <c r="L13" s="110" t="s">
        <v>4</v>
      </c>
      <c r="M13" s="108" t="s">
        <v>56</v>
      </c>
      <c r="N13" s="110" t="s">
        <v>5</v>
      </c>
      <c r="O13" s="110" t="s">
        <v>4</v>
      </c>
      <c r="P13" s="108" t="s">
        <v>56</v>
      </c>
      <c r="Q13" s="106" t="s">
        <v>5</v>
      </c>
      <c r="R13" s="110" t="s">
        <v>4</v>
      </c>
      <c r="S13" s="108" t="s">
        <v>56</v>
      </c>
      <c r="T13" s="110" t="s">
        <v>5</v>
      </c>
      <c r="U13" s="110" t="s">
        <v>4</v>
      </c>
      <c r="V13" s="108" t="s">
        <v>56</v>
      </c>
      <c r="W13" s="110" t="s">
        <v>5</v>
      </c>
      <c r="X13" s="110" t="s">
        <v>4</v>
      </c>
      <c r="Y13" s="108" t="s">
        <v>56</v>
      </c>
      <c r="Z13" s="110" t="s">
        <v>5</v>
      </c>
      <c r="AA13" s="110" t="s">
        <v>4</v>
      </c>
      <c r="AB13" s="108" t="s">
        <v>56</v>
      </c>
      <c r="AC13" s="110" t="s">
        <v>5</v>
      </c>
      <c r="AD13" s="110" t="s">
        <v>4</v>
      </c>
      <c r="AE13" s="108" t="s">
        <v>56</v>
      </c>
      <c r="AF13" s="110" t="s">
        <v>5</v>
      </c>
      <c r="AG13" s="110" t="s">
        <v>4</v>
      </c>
      <c r="AH13" s="108" t="s">
        <v>56</v>
      </c>
      <c r="AI13" s="110" t="s">
        <v>5</v>
      </c>
      <c r="AJ13" s="110" t="s">
        <v>4</v>
      </c>
      <c r="AK13" s="108" t="s">
        <v>56</v>
      </c>
      <c r="AL13" s="110" t="s">
        <v>5</v>
      </c>
      <c r="AM13" s="110" t="s">
        <v>4</v>
      </c>
      <c r="AN13" s="108" t="s">
        <v>56</v>
      </c>
      <c r="AO13" s="110" t="s">
        <v>5</v>
      </c>
      <c r="AP13" s="110" t="s">
        <v>4</v>
      </c>
      <c r="AQ13" s="108" t="s">
        <v>56</v>
      </c>
      <c r="AR13" s="110" t="s">
        <v>5</v>
      </c>
      <c r="AS13" s="110" t="s">
        <v>4</v>
      </c>
      <c r="AT13" s="108" t="s">
        <v>56</v>
      </c>
      <c r="AU13" s="110" t="s">
        <v>5</v>
      </c>
      <c r="AV13" s="110" t="s">
        <v>4</v>
      </c>
      <c r="AW13" s="108" t="s">
        <v>56</v>
      </c>
      <c r="BA13" s="54"/>
    </row>
    <row r="14" spans="1:53" ht="80.25" customHeight="1">
      <c r="B14" s="207" t="s">
        <v>7</v>
      </c>
      <c r="C14" s="208"/>
      <c r="D14" s="209"/>
      <c r="E14" s="79">
        <v>0</v>
      </c>
      <c r="F14" s="70">
        <v>87.9</v>
      </c>
      <c r="G14" s="96" t="e">
        <f>F14/E14</f>
        <v>#DIV/0!</v>
      </c>
      <c r="H14" s="75">
        <v>400</v>
      </c>
      <c r="I14" s="70">
        <v>149.4</v>
      </c>
      <c r="J14" s="96">
        <f>I14/H14</f>
        <v>0.3735</v>
      </c>
      <c r="K14" s="70">
        <v>0</v>
      </c>
      <c r="L14" s="70">
        <v>67.2</v>
      </c>
      <c r="M14" s="96" t="e">
        <f>L14/K14</f>
        <v>#DIV/0!</v>
      </c>
      <c r="N14" s="70">
        <v>400</v>
      </c>
      <c r="O14" s="70">
        <v>124.2</v>
      </c>
      <c r="P14" s="96">
        <f>O14/N14</f>
        <v>0.3105</v>
      </c>
      <c r="Q14" s="79">
        <v>0</v>
      </c>
      <c r="R14" s="70">
        <v>186</v>
      </c>
      <c r="S14" s="96" t="e">
        <f>R14/Q14</f>
        <v>#DIV/0!</v>
      </c>
      <c r="T14" s="70">
        <v>400</v>
      </c>
      <c r="U14" s="70"/>
      <c r="V14" s="96">
        <f>U14/T14</f>
        <v>0</v>
      </c>
      <c r="W14" s="70">
        <f t="shared" ref="W14:X16" si="5">E14+H14+K14+N14+Q14+T14</f>
        <v>1200</v>
      </c>
      <c r="X14" s="70">
        <f t="shared" si="5"/>
        <v>614.70000000000005</v>
      </c>
      <c r="Y14" s="96">
        <f>X14/W14</f>
        <v>0.51224999999999998</v>
      </c>
      <c r="Z14" s="70">
        <v>0</v>
      </c>
      <c r="AA14" s="70"/>
      <c r="AB14" s="96" t="e">
        <f>AA14/Z14</f>
        <v>#DIV/0!</v>
      </c>
      <c r="AC14" s="70">
        <v>400</v>
      </c>
      <c r="AD14" s="70"/>
      <c r="AE14" s="96">
        <f>AD14/AC14</f>
        <v>0</v>
      </c>
      <c r="AF14" s="70">
        <v>0</v>
      </c>
      <c r="AG14" s="70"/>
      <c r="AH14" s="96" t="e">
        <f>AG14/AF14</f>
        <v>#DIV/0!</v>
      </c>
      <c r="AI14" s="70">
        <v>400</v>
      </c>
      <c r="AJ14" s="70"/>
      <c r="AK14" s="96">
        <f>AJ14/AI14</f>
        <v>0</v>
      </c>
      <c r="AL14" s="70">
        <v>0</v>
      </c>
      <c r="AM14" s="70"/>
      <c r="AN14" s="96" t="e">
        <f>AM14/AL14</f>
        <v>#DIV/0!</v>
      </c>
      <c r="AO14" s="70">
        <v>400</v>
      </c>
      <c r="AP14" s="70"/>
      <c r="AQ14" s="96">
        <f>AP14/AO14</f>
        <v>0</v>
      </c>
      <c r="AR14" s="70">
        <f t="shared" ref="AR14:AS16" si="6">Z14+AC14+AF14+AI14+AL14+AO14</f>
        <v>1200</v>
      </c>
      <c r="AS14" s="70">
        <f t="shared" si="6"/>
        <v>0</v>
      </c>
      <c r="AT14" s="96">
        <f>AS14/AR14</f>
        <v>0</v>
      </c>
      <c r="AU14" s="70">
        <f t="shared" ref="AU14:AV16" si="7">W14+AR14</f>
        <v>2400</v>
      </c>
      <c r="AV14" s="70">
        <f t="shared" si="7"/>
        <v>614.70000000000005</v>
      </c>
      <c r="AW14" s="101">
        <f>AV14/AU14</f>
        <v>0.25612499999999999</v>
      </c>
      <c r="AX14" s="191"/>
      <c r="BA14" s="54"/>
    </row>
    <row r="15" spans="1:53" ht="80.25" customHeight="1">
      <c r="B15" s="201" t="s">
        <v>1</v>
      </c>
      <c r="C15" s="202"/>
      <c r="D15" s="203"/>
      <c r="E15" s="76">
        <v>0</v>
      </c>
      <c r="F15" s="67"/>
      <c r="G15" s="96" t="e">
        <f>F15/E15</f>
        <v>#DIV/0!</v>
      </c>
      <c r="H15" s="72">
        <v>0</v>
      </c>
      <c r="I15" s="67">
        <v>0</v>
      </c>
      <c r="J15" s="96" t="e">
        <f>I15/H15</f>
        <v>#DIV/0!</v>
      </c>
      <c r="K15" s="67">
        <v>0</v>
      </c>
      <c r="L15" s="67"/>
      <c r="M15" s="96" t="e">
        <f>L15/K15</f>
        <v>#DIV/0!</v>
      </c>
      <c r="N15" s="67">
        <v>0</v>
      </c>
      <c r="O15" s="67"/>
      <c r="P15" s="96" t="e">
        <f>O15/N15</f>
        <v>#DIV/0!</v>
      </c>
      <c r="Q15" s="76">
        <v>0</v>
      </c>
      <c r="R15" s="67">
        <v>0</v>
      </c>
      <c r="S15" s="96" t="e">
        <f>R15/Q15</f>
        <v>#DIV/0!</v>
      </c>
      <c r="T15" s="67">
        <v>0</v>
      </c>
      <c r="U15" s="67">
        <v>0</v>
      </c>
      <c r="V15" s="96" t="e">
        <f>U15/T15</f>
        <v>#DIV/0!</v>
      </c>
      <c r="W15" s="67">
        <f t="shared" si="5"/>
        <v>0</v>
      </c>
      <c r="X15" s="67">
        <f t="shared" si="5"/>
        <v>0</v>
      </c>
      <c r="Y15" s="96" t="e">
        <f>X15/W15</f>
        <v>#DIV/0!</v>
      </c>
      <c r="Z15" s="67">
        <v>0</v>
      </c>
      <c r="AA15" s="67"/>
      <c r="AB15" s="96" t="e">
        <f>AA15/Z15</f>
        <v>#DIV/0!</v>
      </c>
      <c r="AC15" s="67">
        <v>0</v>
      </c>
      <c r="AD15" s="67"/>
      <c r="AE15" s="96" t="e">
        <f>AD15/AC15</f>
        <v>#DIV/0!</v>
      </c>
      <c r="AF15" s="67">
        <v>0</v>
      </c>
      <c r="AG15" s="67"/>
      <c r="AH15" s="96" t="e">
        <f>AG15/AF15</f>
        <v>#DIV/0!</v>
      </c>
      <c r="AI15" s="67">
        <v>0</v>
      </c>
      <c r="AJ15" s="67"/>
      <c r="AK15" s="96" t="e">
        <f>AJ15/AI15</f>
        <v>#DIV/0!</v>
      </c>
      <c r="AL15" s="67">
        <v>0</v>
      </c>
      <c r="AM15" s="67"/>
      <c r="AN15" s="96" t="e">
        <f>AM15/AL15</f>
        <v>#DIV/0!</v>
      </c>
      <c r="AO15" s="67">
        <v>0</v>
      </c>
      <c r="AP15" s="67"/>
      <c r="AQ15" s="96" t="e">
        <f>AP15/AO15</f>
        <v>#DIV/0!</v>
      </c>
      <c r="AR15" s="67">
        <f t="shared" si="6"/>
        <v>0</v>
      </c>
      <c r="AS15" s="67">
        <f t="shared" si="6"/>
        <v>0</v>
      </c>
      <c r="AT15" s="96" t="e">
        <f>AS15/AR15</f>
        <v>#DIV/0!</v>
      </c>
      <c r="AU15" s="67">
        <f t="shared" si="7"/>
        <v>0</v>
      </c>
      <c r="AV15" s="67">
        <f t="shared" si="7"/>
        <v>0</v>
      </c>
      <c r="AW15" s="101" t="e">
        <f>AV15/AU15</f>
        <v>#DIV/0!</v>
      </c>
      <c r="AX15" s="191"/>
      <c r="BA15" s="54"/>
    </row>
    <row r="16" spans="1:53" ht="80.25" customHeight="1">
      <c r="B16" s="201" t="s">
        <v>16</v>
      </c>
      <c r="C16" s="202"/>
      <c r="D16" s="203"/>
      <c r="E16" s="76">
        <v>0</v>
      </c>
      <c r="F16" s="67"/>
      <c r="G16" s="96" t="e">
        <f>F16/E16</f>
        <v>#DIV/0!</v>
      </c>
      <c r="H16" s="72">
        <v>0</v>
      </c>
      <c r="I16" s="67">
        <v>0</v>
      </c>
      <c r="J16" s="96" t="e">
        <f>I16/H16</f>
        <v>#DIV/0!</v>
      </c>
      <c r="K16" s="67">
        <v>0</v>
      </c>
      <c r="L16" s="67"/>
      <c r="M16" s="96" t="e">
        <f>L16/K16</f>
        <v>#DIV/0!</v>
      </c>
      <c r="N16" s="67">
        <v>0</v>
      </c>
      <c r="O16" s="67"/>
      <c r="P16" s="96" t="e">
        <f>O16/N16</f>
        <v>#DIV/0!</v>
      </c>
      <c r="Q16" s="76">
        <v>0</v>
      </c>
      <c r="R16" s="67">
        <v>0</v>
      </c>
      <c r="S16" s="96" t="e">
        <f>R16/Q16</f>
        <v>#DIV/0!</v>
      </c>
      <c r="T16" s="67">
        <v>0</v>
      </c>
      <c r="U16" s="67">
        <v>0</v>
      </c>
      <c r="V16" s="96" t="e">
        <f>U16/T16</f>
        <v>#DIV/0!</v>
      </c>
      <c r="W16" s="67">
        <f t="shared" si="5"/>
        <v>0</v>
      </c>
      <c r="X16" s="67">
        <f t="shared" si="5"/>
        <v>0</v>
      </c>
      <c r="Y16" s="96" t="e">
        <f>X16/W16</f>
        <v>#DIV/0!</v>
      </c>
      <c r="Z16" s="67">
        <v>0</v>
      </c>
      <c r="AA16" s="67"/>
      <c r="AB16" s="96" t="e">
        <f>AA16/Z16</f>
        <v>#DIV/0!</v>
      </c>
      <c r="AC16" s="67">
        <v>0</v>
      </c>
      <c r="AD16" s="67"/>
      <c r="AE16" s="96" t="e">
        <f>AD16/AC16</f>
        <v>#DIV/0!</v>
      </c>
      <c r="AF16" s="67">
        <v>0</v>
      </c>
      <c r="AG16" s="67"/>
      <c r="AH16" s="96" t="e">
        <f>AG16/AF16</f>
        <v>#DIV/0!</v>
      </c>
      <c r="AI16" s="67">
        <v>0</v>
      </c>
      <c r="AJ16" s="67"/>
      <c r="AK16" s="96" t="e">
        <f>AJ16/AI16</f>
        <v>#DIV/0!</v>
      </c>
      <c r="AL16" s="67">
        <v>0</v>
      </c>
      <c r="AM16" s="67"/>
      <c r="AN16" s="96" t="e">
        <f>AM16/AL16</f>
        <v>#DIV/0!</v>
      </c>
      <c r="AO16" s="67">
        <v>0</v>
      </c>
      <c r="AP16" s="67"/>
      <c r="AQ16" s="96" t="e">
        <f>AP16/AO16</f>
        <v>#DIV/0!</v>
      </c>
      <c r="AR16" s="67">
        <f t="shared" si="6"/>
        <v>0</v>
      </c>
      <c r="AS16" s="67">
        <f t="shared" si="6"/>
        <v>0</v>
      </c>
      <c r="AT16" s="96" t="e">
        <f>AS16/AR16</f>
        <v>#DIV/0!</v>
      </c>
      <c r="AU16" s="67">
        <f t="shared" si="7"/>
        <v>0</v>
      </c>
      <c r="AV16" s="67">
        <f t="shared" si="7"/>
        <v>0</v>
      </c>
      <c r="AW16" s="101" t="e">
        <f>AV16/AU16</f>
        <v>#DIV/0!</v>
      </c>
      <c r="AX16" s="191"/>
      <c r="BA16" s="54"/>
    </row>
    <row r="17" spans="1:59" ht="80.25" customHeight="1">
      <c r="B17" s="250" t="s">
        <v>15</v>
      </c>
      <c r="C17" s="251"/>
      <c r="D17" s="252"/>
      <c r="E17" s="84">
        <f t="shared" ref="E17:AV17" si="8">SUM(E14:E16)</f>
        <v>0</v>
      </c>
      <c r="F17" s="86">
        <f t="shared" si="8"/>
        <v>87.9</v>
      </c>
      <c r="G17" s="96" t="e">
        <f>F17/E17</f>
        <v>#DIV/0!</v>
      </c>
      <c r="H17" s="85">
        <f t="shared" si="8"/>
        <v>400</v>
      </c>
      <c r="I17" s="86">
        <f t="shared" si="8"/>
        <v>149.4</v>
      </c>
      <c r="J17" s="96">
        <f>I17/H17</f>
        <v>0.3735</v>
      </c>
      <c r="K17" s="86">
        <f t="shared" si="8"/>
        <v>0</v>
      </c>
      <c r="L17" s="86">
        <f t="shared" si="8"/>
        <v>67.2</v>
      </c>
      <c r="M17" s="96" t="e">
        <f>L17/K17</f>
        <v>#DIV/0!</v>
      </c>
      <c r="N17" s="86">
        <f t="shared" si="8"/>
        <v>400</v>
      </c>
      <c r="O17" s="86">
        <f t="shared" si="8"/>
        <v>124.2</v>
      </c>
      <c r="P17" s="96">
        <f>O17/N17</f>
        <v>0.3105</v>
      </c>
      <c r="Q17" s="84">
        <f t="shared" si="8"/>
        <v>0</v>
      </c>
      <c r="R17" s="86">
        <f t="shared" si="8"/>
        <v>186</v>
      </c>
      <c r="S17" s="96" t="e">
        <f>R17/Q17</f>
        <v>#DIV/0!</v>
      </c>
      <c r="T17" s="86">
        <f t="shared" si="8"/>
        <v>400</v>
      </c>
      <c r="U17" s="86">
        <f t="shared" si="8"/>
        <v>0</v>
      </c>
      <c r="V17" s="96">
        <f>U17/T17</f>
        <v>0</v>
      </c>
      <c r="W17" s="86">
        <f t="shared" si="8"/>
        <v>1200</v>
      </c>
      <c r="X17" s="86">
        <f t="shared" si="8"/>
        <v>614.70000000000005</v>
      </c>
      <c r="Y17" s="96">
        <f>X17/W17</f>
        <v>0.51224999999999998</v>
      </c>
      <c r="Z17" s="86">
        <f t="shared" si="8"/>
        <v>0</v>
      </c>
      <c r="AA17" s="86">
        <f t="shared" si="8"/>
        <v>0</v>
      </c>
      <c r="AB17" s="96" t="e">
        <f>AA17/Z17</f>
        <v>#DIV/0!</v>
      </c>
      <c r="AC17" s="86">
        <f t="shared" si="8"/>
        <v>400</v>
      </c>
      <c r="AD17" s="86">
        <f t="shared" si="8"/>
        <v>0</v>
      </c>
      <c r="AE17" s="96">
        <f>AD17/AC17</f>
        <v>0</v>
      </c>
      <c r="AF17" s="86">
        <f t="shared" si="8"/>
        <v>0</v>
      </c>
      <c r="AG17" s="86">
        <f t="shared" si="8"/>
        <v>0</v>
      </c>
      <c r="AH17" s="96" t="e">
        <f>AG17/AF17</f>
        <v>#DIV/0!</v>
      </c>
      <c r="AI17" s="86">
        <f t="shared" si="8"/>
        <v>400</v>
      </c>
      <c r="AJ17" s="86">
        <f t="shared" si="8"/>
        <v>0</v>
      </c>
      <c r="AK17" s="96">
        <f>AJ17/AI17</f>
        <v>0</v>
      </c>
      <c r="AL17" s="86">
        <f t="shared" si="8"/>
        <v>0</v>
      </c>
      <c r="AM17" s="86">
        <f t="shared" si="8"/>
        <v>0</v>
      </c>
      <c r="AN17" s="96" t="e">
        <f>AM17/AL17</f>
        <v>#DIV/0!</v>
      </c>
      <c r="AO17" s="86">
        <f t="shared" si="8"/>
        <v>400</v>
      </c>
      <c r="AP17" s="86">
        <f t="shared" si="8"/>
        <v>0</v>
      </c>
      <c r="AQ17" s="96">
        <f>AP17/AO17</f>
        <v>0</v>
      </c>
      <c r="AR17" s="86">
        <f t="shared" si="8"/>
        <v>1200</v>
      </c>
      <c r="AS17" s="86">
        <f t="shared" si="8"/>
        <v>0</v>
      </c>
      <c r="AT17" s="96">
        <f>AS17/AR17</f>
        <v>0</v>
      </c>
      <c r="AU17" s="86">
        <f t="shared" si="8"/>
        <v>2400</v>
      </c>
      <c r="AV17" s="86">
        <f t="shared" si="8"/>
        <v>614.70000000000005</v>
      </c>
      <c r="AW17" s="101">
        <f>AV17/AU17</f>
        <v>0.25612499999999999</v>
      </c>
      <c r="AX17" s="65"/>
      <c r="AY17" s="65"/>
      <c r="BA17" s="54"/>
    </row>
    <row r="18" spans="1:59" ht="80.25" customHeight="1">
      <c r="B18" s="224" t="s">
        <v>17</v>
      </c>
      <c r="C18" s="225"/>
      <c r="D18" s="226"/>
      <c r="E18" s="112" t="s">
        <v>5</v>
      </c>
      <c r="F18" s="113" t="s">
        <v>4</v>
      </c>
      <c r="G18" s="114" t="s">
        <v>56</v>
      </c>
      <c r="H18" s="115" t="s">
        <v>5</v>
      </c>
      <c r="I18" s="116" t="s">
        <v>4</v>
      </c>
      <c r="J18" s="114" t="s">
        <v>56</v>
      </c>
      <c r="K18" s="116" t="s">
        <v>5</v>
      </c>
      <c r="L18" s="116" t="s">
        <v>4</v>
      </c>
      <c r="M18" s="114" t="s">
        <v>56</v>
      </c>
      <c r="N18" s="116" t="s">
        <v>5</v>
      </c>
      <c r="O18" s="116" t="s">
        <v>4</v>
      </c>
      <c r="P18" s="114" t="s">
        <v>56</v>
      </c>
      <c r="Q18" s="112" t="s">
        <v>5</v>
      </c>
      <c r="R18" s="116" t="s">
        <v>4</v>
      </c>
      <c r="S18" s="114" t="s">
        <v>56</v>
      </c>
      <c r="T18" s="116" t="s">
        <v>5</v>
      </c>
      <c r="U18" s="116" t="s">
        <v>4</v>
      </c>
      <c r="V18" s="114" t="s">
        <v>56</v>
      </c>
      <c r="W18" s="116" t="s">
        <v>5</v>
      </c>
      <c r="X18" s="116" t="s">
        <v>4</v>
      </c>
      <c r="Y18" s="114" t="s">
        <v>56</v>
      </c>
      <c r="Z18" s="116" t="s">
        <v>5</v>
      </c>
      <c r="AA18" s="116" t="s">
        <v>4</v>
      </c>
      <c r="AB18" s="114" t="s">
        <v>56</v>
      </c>
      <c r="AC18" s="116" t="s">
        <v>5</v>
      </c>
      <c r="AD18" s="116" t="s">
        <v>4</v>
      </c>
      <c r="AE18" s="114" t="s">
        <v>56</v>
      </c>
      <c r="AF18" s="116" t="s">
        <v>5</v>
      </c>
      <c r="AG18" s="116" t="s">
        <v>4</v>
      </c>
      <c r="AH18" s="114" t="s">
        <v>56</v>
      </c>
      <c r="AI18" s="116" t="s">
        <v>5</v>
      </c>
      <c r="AJ18" s="116" t="s">
        <v>4</v>
      </c>
      <c r="AK18" s="114" t="s">
        <v>56</v>
      </c>
      <c r="AL18" s="116" t="s">
        <v>5</v>
      </c>
      <c r="AM18" s="116" t="s">
        <v>4</v>
      </c>
      <c r="AN18" s="114" t="s">
        <v>56</v>
      </c>
      <c r="AO18" s="116" t="s">
        <v>5</v>
      </c>
      <c r="AP18" s="116" t="s">
        <v>4</v>
      </c>
      <c r="AQ18" s="114" t="s">
        <v>56</v>
      </c>
      <c r="AR18" s="116" t="s">
        <v>5</v>
      </c>
      <c r="AS18" s="116" t="s">
        <v>4</v>
      </c>
      <c r="AT18" s="114" t="s">
        <v>56</v>
      </c>
      <c r="AU18" s="116" t="s">
        <v>5</v>
      </c>
      <c r="AV18" s="116" t="s">
        <v>4</v>
      </c>
      <c r="AW18" s="114" t="s">
        <v>56</v>
      </c>
      <c r="AX18" s="65"/>
      <c r="AY18" s="65"/>
      <c r="BA18" s="54"/>
    </row>
    <row r="19" spans="1:59" ht="80.25" customHeight="1">
      <c r="B19" s="227" t="s">
        <v>40</v>
      </c>
      <c r="C19" s="228"/>
      <c r="D19" s="229"/>
      <c r="E19" s="76"/>
      <c r="F19" s="67"/>
      <c r="G19" s="96" t="e">
        <f>F19/E19</f>
        <v>#DIV/0!</v>
      </c>
      <c r="H19" s="72"/>
      <c r="I19" s="67">
        <v>400</v>
      </c>
      <c r="J19" s="96" t="e">
        <f>I19/H19</f>
        <v>#DIV/0!</v>
      </c>
      <c r="K19" s="67"/>
      <c r="L19" s="67">
        <v>800</v>
      </c>
      <c r="M19" s="96" t="e">
        <f>L19/K19</f>
        <v>#DIV/0!</v>
      </c>
      <c r="N19" s="67"/>
      <c r="O19" s="67"/>
      <c r="P19" s="96" t="e">
        <f>O19/N19</f>
        <v>#DIV/0!</v>
      </c>
      <c r="Q19" s="76"/>
      <c r="R19" s="67">
        <v>0</v>
      </c>
      <c r="S19" s="96" t="e">
        <f>R19/Q19</f>
        <v>#DIV/0!</v>
      </c>
      <c r="T19" s="67"/>
      <c r="U19" s="67">
        <v>0</v>
      </c>
      <c r="V19" s="96" t="e">
        <f>U19/T19</f>
        <v>#DIV/0!</v>
      </c>
      <c r="W19" s="67">
        <f t="shared" ref="W19:X22" si="9">E19+H19+K19+N19+Q19+T19</f>
        <v>0</v>
      </c>
      <c r="X19" s="67">
        <f t="shared" si="9"/>
        <v>1200</v>
      </c>
      <c r="Y19" s="96" t="e">
        <f>X19/W19</f>
        <v>#DIV/0!</v>
      </c>
      <c r="Z19" s="67"/>
      <c r="AA19" s="67"/>
      <c r="AB19" s="96" t="e">
        <f>AA19/Z19</f>
        <v>#DIV/0!</v>
      </c>
      <c r="AC19" s="67"/>
      <c r="AD19" s="67"/>
      <c r="AE19" s="96" t="e">
        <f>AD19/AC19</f>
        <v>#DIV/0!</v>
      </c>
      <c r="AF19" s="67"/>
      <c r="AG19" s="67"/>
      <c r="AH19" s="96" t="e">
        <f>AG19/AF19</f>
        <v>#DIV/0!</v>
      </c>
      <c r="AI19" s="67"/>
      <c r="AJ19" s="67"/>
      <c r="AK19" s="96" t="e">
        <f>AJ19/AI19</f>
        <v>#DIV/0!</v>
      </c>
      <c r="AL19" s="67"/>
      <c r="AM19" s="67"/>
      <c r="AN19" s="96" t="e">
        <f>AM19/AL19</f>
        <v>#DIV/0!</v>
      </c>
      <c r="AO19" s="67"/>
      <c r="AP19" s="67"/>
      <c r="AQ19" s="96" t="e">
        <f>AP19/AO19</f>
        <v>#DIV/0!</v>
      </c>
      <c r="AR19" s="67">
        <f t="shared" ref="AR19:AS22" si="10">Z19+AC19+AF19+AI19+AL19+AO19</f>
        <v>0</v>
      </c>
      <c r="AS19" s="67">
        <f t="shared" si="10"/>
        <v>0</v>
      </c>
      <c r="AT19" s="96" t="e">
        <f>AS19/AR19</f>
        <v>#DIV/0!</v>
      </c>
      <c r="AU19" s="67">
        <f t="shared" ref="AU19:AV22" si="11">W19+AR19</f>
        <v>0</v>
      </c>
      <c r="AV19" s="67">
        <f t="shared" si="11"/>
        <v>1200</v>
      </c>
      <c r="AW19" s="101" t="e">
        <f>AV19/AU19</f>
        <v>#DIV/0!</v>
      </c>
      <c r="AX19" s="65"/>
      <c r="AY19" s="65"/>
      <c r="BA19" s="54"/>
    </row>
    <row r="20" spans="1:59" ht="80.25" customHeight="1">
      <c r="B20" s="207" t="s">
        <v>41</v>
      </c>
      <c r="C20" s="208"/>
      <c r="D20" s="209"/>
      <c r="E20" s="79">
        <v>3000</v>
      </c>
      <c r="F20" s="67">
        <v>800</v>
      </c>
      <c r="G20" s="96">
        <f>F20/E20</f>
        <v>0.26666666666666666</v>
      </c>
      <c r="H20" s="75">
        <v>3000</v>
      </c>
      <c r="I20" s="67">
        <v>2400</v>
      </c>
      <c r="J20" s="96">
        <f>I20/H20</f>
        <v>0.8</v>
      </c>
      <c r="K20" s="70">
        <v>3000</v>
      </c>
      <c r="L20" s="67">
        <v>2400</v>
      </c>
      <c r="M20" s="96">
        <f>L20/K20</f>
        <v>0.8</v>
      </c>
      <c r="N20" s="70">
        <v>3000</v>
      </c>
      <c r="O20" s="67">
        <v>1000</v>
      </c>
      <c r="P20" s="96">
        <f>O20/N20</f>
        <v>0.33333333333333331</v>
      </c>
      <c r="Q20" s="79">
        <v>3000</v>
      </c>
      <c r="R20" s="67">
        <v>600</v>
      </c>
      <c r="S20" s="96">
        <f>R20/Q20</f>
        <v>0.2</v>
      </c>
      <c r="T20" s="70">
        <v>3000</v>
      </c>
      <c r="U20" s="67">
        <v>1200</v>
      </c>
      <c r="V20" s="96">
        <f>U20/T20</f>
        <v>0.4</v>
      </c>
      <c r="W20" s="67">
        <f t="shared" si="9"/>
        <v>18000</v>
      </c>
      <c r="X20" s="67">
        <f t="shared" si="9"/>
        <v>8400</v>
      </c>
      <c r="Y20" s="96">
        <f>X20/W20</f>
        <v>0.46666666666666667</v>
      </c>
      <c r="Z20" s="70">
        <v>3000</v>
      </c>
      <c r="AA20" s="67"/>
      <c r="AB20" s="96">
        <f>AA20/Z20</f>
        <v>0</v>
      </c>
      <c r="AC20" s="70">
        <v>3000</v>
      </c>
      <c r="AD20" s="67"/>
      <c r="AE20" s="96">
        <f>AD20/AC20</f>
        <v>0</v>
      </c>
      <c r="AF20" s="70">
        <v>3000</v>
      </c>
      <c r="AG20" s="67"/>
      <c r="AH20" s="96">
        <f>AG20/AF20</f>
        <v>0</v>
      </c>
      <c r="AI20" s="70">
        <v>3000</v>
      </c>
      <c r="AJ20" s="67"/>
      <c r="AK20" s="96">
        <f>AJ20/AI20</f>
        <v>0</v>
      </c>
      <c r="AL20" s="70">
        <v>3000</v>
      </c>
      <c r="AM20" s="67"/>
      <c r="AN20" s="96">
        <f>AM20/AL20</f>
        <v>0</v>
      </c>
      <c r="AO20" s="70">
        <v>3000</v>
      </c>
      <c r="AP20" s="67"/>
      <c r="AQ20" s="96">
        <f>AP20/AO20</f>
        <v>0</v>
      </c>
      <c r="AR20" s="67">
        <f t="shared" si="10"/>
        <v>18000</v>
      </c>
      <c r="AS20" s="67">
        <f t="shared" si="10"/>
        <v>0</v>
      </c>
      <c r="AT20" s="96">
        <f>AS20/AR20</f>
        <v>0</v>
      </c>
      <c r="AU20" s="67">
        <f t="shared" si="11"/>
        <v>36000</v>
      </c>
      <c r="AV20" s="67">
        <f t="shared" si="11"/>
        <v>8400</v>
      </c>
      <c r="AW20" s="101">
        <f>AV20/AU20</f>
        <v>0.23333333333333334</v>
      </c>
      <c r="AX20" s="65"/>
      <c r="AY20" s="65"/>
      <c r="BA20" s="54"/>
    </row>
    <row r="21" spans="1:59" ht="80.25" customHeight="1">
      <c r="B21" s="201" t="s">
        <v>38</v>
      </c>
      <c r="C21" s="202"/>
      <c r="D21" s="203"/>
      <c r="E21" s="76"/>
      <c r="F21" s="67">
        <v>720</v>
      </c>
      <c r="G21" s="96" t="e">
        <f>F21/E21</f>
        <v>#DIV/0!</v>
      </c>
      <c r="H21" s="72"/>
      <c r="I21" s="67">
        <v>390</v>
      </c>
      <c r="J21" s="96" t="e">
        <f>I21/H21</f>
        <v>#DIV/0!</v>
      </c>
      <c r="K21" s="67"/>
      <c r="L21" s="67">
        <v>450</v>
      </c>
      <c r="M21" s="96" t="e">
        <f>L21/K21</f>
        <v>#DIV/0!</v>
      </c>
      <c r="N21" s="67"/>
      <c r="O21" s="67">
        <v>210</v>
      </c>
      <c r="P21" s="96" t="e">
        <f>O21/N21</f>
        <v>#DIV/0!</v>
      </c>
      <c r="Q21" s="76"/>
      <c r="R21" s="67">
        <v>840</v>
      </c>
      <c r="S21" s="96" t="e">
        <f>R21/Q21</f>
        <v>#DIV/0!</v>
      </c>
      <c r="T21" s="67"/>
      <c r="U21" s="67">
        <v>630</v>
      </c>
      <c r="V21" s="96" t="e">
        <f>U21/T21</f>
        <v>#DIV/0!</v>
      </c>
      <c r="W21" s="67">
        <f t="shared" si="9"/>
        <v>0</v>
      </c>
      <c r="X21" s="67">
        <f t="shared" si="9"/>
        <v>3240</v>
      </c>
      <c r="Y21" s="96" t="e">
        <f>X21/W21</f>
        <v>#DIV/0!</v>
      </c>
      <c r="Z21" s="67"/>
      <c r="AA21" s="67"/>
      <c r="AB21" s="96" t="e">
        <f>AA21/Z21</f>
        <v>#DIV/0!</v>
      </c>
      <c r="AC21" s="67"/>
      <c r="AD21" s="67"/>
      <c r="AE21" s="96" t="e">
        <f>AD21/AC21</f>
        <v>#DIV/0!</v>
      </c>
      <c r="AF21" s="67"/>
      <c r="AG21" s="67"/>
      <c r="AH21" s="96" t="e">
        <f>AG21/AF21</f>
        <v>#DIV/0!</v>
      </c>
      <c r="AI21" s="67"/>
      <c r="AJ21" s="67"/>
      <c r="AK21" s="96" t="e">
        <f>AJ21/AI21</f>
        <v>#DIV/0!</v>
      </c>
      <c r="AL21" s="67"/>
      <c r="AM21" s="67"/>
      <c r="AN21" s="96" t="e">
        <f>AM21/AL21</f>
        <v>#DIV/0!</v>
      </c>
      <c r="AO21" s="67"/>
      <c r="AP21" s="67"/>
      <c r="AQ21" s="96" t="e">
        <f>AP21/AO21</f>
        <v>#DIV/0!</v>
      </c>
      <c r="AR21" s="67">
        <f t="shared" si="10"/>
        <v>0</v>
      </c>
      <c r="AS21" s="67">
        <f t="shared" si="10"/>
        <v>0</v>
      </c>
      <c r="AT21" s="96" t="e">
        <f>AS21/AR21</f>
        <v>#DIV/0!</v>
      </c>
      <c r="AU21" s="67">
        <f t="shared" si="11"/>
        <v>0</v>
      </c>
      <c r="AV21" s="67">
        <f t="shared" si="11"/>
        <v>3240</v>
      </c>
      <c r="AW21" s="101" t="e">
        <f>AV21/AU21</f>
        <v>#DIV/0!</v>
      </c>
      <c r="AX21" s="65"/>
      <c r="AY21" s="65"/>
      <c r="BA21" s="54"/>
    </row>
    <row r="22" spans="1:59" ht="80.25" customHeight="1">
      <c r="B22" s="230" t="s">
        <v>37</v>
      </c>
      <c r="C22" s="231"/>
      <c r="D22" s="232"/>
      <c r="E22" s="76">
        <v>1500</v>
      </c>
      <c r="F22" s="67">
        <v>1550</v>
      </c>
      <c r="G22" s="96">
        <f>F22/E22</f>
        <v>1.0333333333333334</v>
      </c>
      <c r="H22" s="72">
        <v>1500</v>
      </c>
      <c r="I22" s="67">
        <v>1630</v>
      </c>
      <c r="J22" s="96">
        <f>I22/H22</f>
        <v>1.0866666666666667</v>
      </c>
      <c r="K22" s="67">
        <v>1500</v>
      </c>
      <c r="L22" s="67">
        <v>1760</v>
      </c>
      <c r="M22" s="96">
        <f>L22/K22</f>
        <v>1.1733333333333333</v>
      </c>
      <c r="N22" s="67">
        <v>1500</v>
      </c>
      <c r="O22" s="67">
        <v>1850</v>
      </c>
      <c r="P22" s="96">
        <f>O22/N22</f>
        <v>1.2333333333333334</v>
      </c>
      <c r="Q22" s="76">
        <v>1500</v>
      </c>
      <c r="R22" s="67">
        <v>1870</v>
      </c>
      <c r="S22" s="96">
        <f>R22/Q22</f>
        <v>1.2466666666666666</v>
      </c>
      <c r="T22" s="67">
        <v>1500</v>
      </c>
      <c r="U22" s="67">
        <v>1900</v>
      </c>
      <c r="V22" s="96">
        <f>U22/T22</f>
        <v>1.2666666666666666</v>
      </c>
      <c r="W22" s="67">
        <f t="shared" si="9"/>
        <v>9000</v>
      </c>
      <c r="X22" s="67">
        <f t="shared" si="9"/>
        <v>10560</v>
      </c>
      <c r="Y22" s="96">
        <f>X22/W22</f>
        <v>1.1733333333333333</v>
      </c>
      <c r="Z22" s="67">
        <v>1500</v>
      </c>
      <c r="AA22" s="67"/>
      <c r="AB22" s="96">
        <f>AA22/Z22</f>
        <v>0</v>
      </c>
      <c r="AC22" s="67">
        <v>1500</v>
      </c>
      <c r="AD22" s="67"/>
      <c r="AE22" s="96">
        <f>AD22/AC22</f>
        <v>0</v>
      </c>
      <c r="AF22" s="67">
        <v>1500</v>
      </c>
      <c r="AG22" s="67"/>
      <c r="AH22" s="96">
        <f>AG22/AF22</f>
        <v>0</v>
      </c>
      <c r="AI22" s="67">
        <v>1500</v>
      </c>
      <c r="AJ22" s="67"/>
      <c r="AK22" s="96">
        <f>AJ22/AI22</f>
        <v>0</v>
      </c>
      <c r="AL22" s="67">
        <v>1500</v>
      </c>
      <c r="AM22" s="67"/>
      <c r="AN22" s="96">
        <f>AM22/AL22</f>
        <v>0</v>
      </c>
      <c r="AO22" s="67">
        <v>1500</v>
      </c>
      <c r="AP22" s="67"/>
      <c r="AQ22" s="96">
        <f>AP22/AO22</f>
        <v>0</v>
      </c>
      <c r="AR22" s="67">
        <f t="shared" si="10"/>
        <v>9000</v>
      </c>
      <c r="AS22" s="67">
        <f t="shared" si="10"/>
        <v>0</v>
      </c>
      <c r="AT22" s="96">
        <f>AS22/AR22</f>
        <v>0</v>
      </c>
      <c r="AU22" s="67">
        <f t="shared" si="11"/>
        <v>18000</v>
      </c>
      <c r="AV22" s="67">
        <f t="shared" si="11"/>
        <v>10560</v>
      </c>
      <c r="AW22" s="101">
        <f>AV22/AU22</f>
        <v>0.58666666666666667</v>
      </c>
      <c r="AX22" s="65"/>
      <c r="AY22" s="65"/>
      <c r="BA22" s="54"/>
    </row>
    <row r="23" spans="1:59" ht="104" customHeight="1" thickBot="1">
      <c r="B23" s="247" t="s">
        <v>15</v>
      </c>
      <c r="C23" s="248"/>
      <c r="D23" s="249"/>
      <c r="E23" s="102">
        <f>SUM(E19:E22)</f>
        <v>4500</v>
      </c>
      <c r="F23" s="94">
        <f t="shared" ref="F23:AV23" si="12">SUM(F19:F22)</f>
        <v>3070</v>
      </c>
      <c r="G23" s="91">
        <f>F23/E23</f>
        <v>0.68222222222222217</v>
      </c>
      <c r="H23" s="85">
        <f t="shared" si="12"/>
        <v>4500</v>
      </c>
      <c r="I23" s="86">
        <f t="shared" si="12"/>
        <v>4820</v>
      </c>
      <c r="J23" s="91">
        <f>I23/H23</f>
        <v>1.0711111111111111</v>
      </c>
      <c r="K23" s="86">
        <f t="shared" si="12"/>
        <v>4500</v>
      </c>
      <c r="L23" s="86">
        <f t="shared" si="12"/>
        <v>5410</v>
      </c>
      <c r="M23" s="91">
        <f>L23/K23</f>
        <v>1.2022222222222223</v>
      </c>
      <c r="N23" s="86">
        <f t="shared" si="12"/>
        <v>4500</v>
      </c>
      <c r="O23" s="90">
        <f t="shared" si="12"/>
        <v>3060</v>
      </c>
      <c r="P23" s="91">
        <f>O23/N23</f>
        <v>0.68</v>
      </c>
      <c r="Q23" s="118">
        <f t="shared" si="12"/>
        <v>4500</v>
      </c>
      <c r="R23" s="119">
        <f t="shared" si="12"/>
        <v>3310</v>
      </c>
      <c r="S23" s="120">
        <f>R23/Q23</f>
        <v>0.73555555555555552</v>
      </c>
      <c r="T23" s="103">
        <f t="shared" si="12"/>
        <v>4500</v>
      </c>
      <c r="U23" s="86">
        <f t="shared" si="12"/>
        <v>3730</v>
      </c>
      <c r="V23" s="91">
        <f>U23/T23</f>
        <v>0.8288888888888889</v>
      </c>
      <c r="W23" s="85">
        <f t="shared" si="12"/>
        <v>27000</v>
      </c>
      <c r="X23" s="86">
        <f t="shared" si="12"/>
        <v>23400</v>
      </c>
      <c r="Y23" s="104">
        <f>X23/W23</f>
        <v>0.8666666666666667</v>
      </c>
      <c r="Z23" s="86">
        <f t="shared" si="12"/>
        <v>4500</v>
      </c>
      <c r="AA23" s="86">
        <f t="shared" si="12"/>
        <v>0</v>
      </c>
      <c r="AB23" s="91">
        <f>AA23/Z23</f>
        <v>0</v>
      </c>
      <c r="AC23" s="86">
        <f t="shared" si="12"/>
        <v>4500</v>
      </c>
      <c r="AD23" s="86">
        <f t="shared" si="12"/>
        <v>0</v>
      </c>
      <c r="AE23" s="91">
        <f>AD23/AC23</f>
        <v>0</v>
      </c>
      <c r="AF23" s="86">
        <f t="shared" si="12"/>
        <v>4500</v>
      </c>
      <c r="AG23" s="86">
        <f t="shared" si="12"/>
        <v>0</v>
      </c>
      <c r="AH23" s="91">
        <f>AG23/AF23</f>
        <v>0</v>
      </c>
      <c r="AI23" s="86">
        <f t="shared" si="12"/>
        <v>4500</v>
      </c>
      <c r="AJ23" s="86">
        <f t="shared" si="12"/>
        <v>0</v>
      </c>
      <c r="AK23" s="91">
        <f>AJ23/AI23</f>
        <v>0</v>
      </c>
      <c r="AL23" s="86">
        <f t="shared" si="12"/>
        <v>4500</v>
      </c>
      <c r="AM23" s="86">
        <f t="shared" si="12"/>
        <v>0</v>
      </c>
      <c r="AN23" s="91">
        <f>AM23/AL23</f>
        <v>0</v>
      </c>
      <c r="AO23" s="86">
        <f t="shared" si="12"/>
        <v>4500</v>
      </c>
      <c r="AP23" s="86">
        <f t="shared" si="12"/>
        <v>0</v>
      </c>
      <c r="AQ23" s="91">
        <f>AP23/AO23</f>
        <v>0</v>
      </c>
      <c r="AR23" s="86">
        <f>SUM(AR19:AR22)</f>
        <v>27000</v>
      </c>
      <c r="AS23" s="86">
        <f t="shared" ref="AS23" si="13">SUM(AS19:AS22)</f>
        <v>0</v>
      </c>
      <c r="AT23" s="104">
        <f>AS23/AR23</f>
        <v>0</v>
      </c>
      <c r="AU23" s="86">
        <f t="shared" si="12"/>
        <v>54000</v>
      </c>
      <c r="AV23" s="86">
        <f t="shared" si="12"/>
        <v>23400</v>
      </c>
      <c r="AW23" s="105">
        <f>AV23/AU23</f>
        <v>0.43333333333333335</v>
      </c>
    </row>
    <row r="24" spans="1:59" s="63" customFormat="1" ht="141.75" customHeight="1">
      <c r="A24" s="64"/>
      <c r="O24" s="83"/>
      <c r="AU24" s="87"/>
      <c r="AV24" s="87"/>
      <c r="AW24" s="87"/>
    </row>
    <row r="25" spans="1:59" ht="80.25" customHeight="1">
      <c r="B25" s="80"/>
      <c r="C25" s="80"/>
      <c r="D25" s="80"/>
      <c r="E25" s="220"/>
      <c r="F25" s="220"/>
      <c r="G25" s="80"/>
      <c r="H25" s="80"/>
      <c r="I25" s="80"/>
      <c r="J25" s="80"/>
      <c r="K25" s="80"/>
      <c r="L25" s="80"/>
      <c r="M25" s="80"/>
      <c r="N25" s="80"/>
      <c r="O25" s="80"/>
      <c r="P25" s="80"/>
      <c r="Q25" s="80"/>
      <c r="R25" s="80"/>
      <c r="S25" s="80"/>
      <c r="T25" s="80"/>
      <c r="U25" s="80"/>
      <c r="V25" s="80"/>
      <c r="W25" s="80"/>
      <c r="X25" s="80"/>
      <c r="Y25" s="80"/>
      <c r="Z25" s="80"/>
      <c r="AA25" s="80"/>
      <c r="AB25" s="80"/>
      <c r="AC25" s="80"/>
      <c r="AD25" s="80"/>
      <c r="AE25" s="80"/>
      <c r="AF25" s="80"/>
      <c r="AG25" s="80"/>
      <c r="AH25" s="80"/>
      <c r="AI25" s="80"/>
      <c r="AJ25" s="80"/>
      <c r="AK25" s="80"/>
      <c r="AL25" s="80"/>
      <c r="AM25" s="80"/>
      <c r="AN25" s="80"/>
      <c r="AO25" s="80"/>
      <c r="AP25" s="80"/>
      <c r="AQ25" s="80"/>
      <c r="AR25" s="80"/>
      <c r="AS25" s="80"/>
      <c r="AT25" s="80"/>
      <c r="AU25" s="80"/>
      <c r="AV25" s="80"/>
      <c r="AW25" s="80"/>
    </row>
    <row r="26" spans="1:59" s="58" customFormat="1" ht="20.25" customHeight="1">
      <c r="A26" s="54"/>
      <c r="B26" s="55"/>
      <c r="E26" s="65"/>
      <c r="F26" s="65"/>
      <c r="G26" s="65"/>
      <c r="H26" s="65"/>
      <c r="I26" s="57"/>
      <c r="J26" s="65"/>
      <c r="K26" s="57"/>
      <c r="L26" s="65"/>
      <c r="M26" s="65"/>
      <c r="N26" s="65"/>
      <c r="O26" s="65"/>
      <c r="P26" s="65"/>
      <c r="Q26" s="65"/>
      <c r="R26" s="65"/>
      <c r="S26" s="65"/>
      <c r="T26" s="65"/>
      <c r="U26" s="65"/>
      <c r="V26" s="65"/>
      <c r="W26" s="65"/>
      <c r="X26" s="65"/>
      <c r="Y26" s="57"/>
      <c r="Z26" s="65"/>
      <c r="AA26" s="65"/>
      <c r="AB26" s="65"/>
      <c r="AC26" s="65"/>
      <c r="AD26" s="57"/>
      <c r="AE26" s="65"/>
      <c r="AF26" s="57"/>
      <c r="AG26" s="65"/>
      <c r="AH26" s="65"/>
      <c r="AI26" s="65"/>
      <c r="AJ26" s="65"/>
      <c r="AK26" s="65"/>
      <c r="AL26" s="65"/>
      <c r="AM26" s="65"/>
      <c r="AN26" s="65"/>
      <c r="AO26" s="65"/>
      <c r="AP26" s="65"/>
      <c r="AQ26" s="65"/>
      <c r="AR26" s="65"/>
      <c r="AS26" s="65"/>
      <c r="AT26" s="57"/>
      <c r="AU26" s="65"/>
      <c r="AV26" s="65"/>
      <c r="AW26" s="66"/>
      <c r="BB26" s="59"/>
      <c r="BC26" s="59"/>
      <c r="BD26" s="59"/>
      <c r="BE26" s="59"/>
      <c r="BF26" s="59"/>
      <c r="BG26" s="59"/>
    </row>
    <row r="27" spans="1:59" s="58" customFormat="1" ht="20.25" customHeight="1">
      <c r="A27" s="54"/>
      <c r="B27" s="55"/>
      <c r="E27" s="65"/>
      <c r="F27" s="65"/>
      <c r="G27" s="65"/>
      <c r="H27" s="65"/>
      <c r="I27" s="57"/>
      <c r="J27" s="65"/>
      <c r="K27" s="57"/>
      <c r="L27" s="65"/>
      <c r="M27" s="65"/>
      <c r="N27" s="65"/>
      <c r="O27" s="65"/>
      <c r="P27" s="65"/>
      <c r="Q27" s="65"/>
      <c r="R27" s="65"/>
      <c r="S27" s="65"/>
      <c r="T27" s="65"/>
      <c r="U27" s="65"/>
      <c r="V27" s="65"/>
      <c r="W27" s="65"/>
      <c r="X27" s="65"/>
      <c r="Y27" s="57"/>
      <c r="Z27" s="65"/>
      <c r="AA27" s="65"/>
      <c r="AB27" s="65"/>
      <c r="AC27" s="65"/>
      <c r="AD27" s="57"/>
      <c r="AE27" s="65"/>
      <c r="AF27" s="57"/>
      <c r="AG27" s="65"/>
      <c r="AH27" s="65"/>
      <c r="AI27" s="65"/>
      <c r="AJ27" s="65"/>
      <c r="AK27" s="65"/>
      <c r="AL27" s="65"/>
      <c r="AM27" s="65"/>
      <c r="AN27" s="65"/>
      <c r="AO27" s="65"/>
      <c r="AP27" s="65"/>
      <c r="AQ27" s="65"/>
      <c r="AR27" s="65"/>
      <c r="AS27" s="65"/>
      <c r="AT27" s="57"/>
      <c r="AU27" s="65"/>
      <c r="AV27" s="65"/>
      <c r="AW27" s="66"/>
      <c r="BB27" s="59"/>
      <c r="BC27" s="59"/>
      <c r="BD27" s="59"/>
      <c r="BE27" s="59"/>
      <c r="BF27" s="59"/>
      <c r="BG27" s="59"/>
    </row>
    <row r="28" spans="1:59" s="58" customFormat="1" ht="20.25" customHeight="1">
      <c r="A28" s="54"/>
      <c r="B28" s="55"/>
      <c r="E28" s="65"/>
      <c r="F28" s="65"/>
      <c r="G28" s="65"/>
      <c r="H28" s="65"/>
      <c r="I28" s="57"/>
      <c r="J28" s="65"/>
      <c r="K28" s="57"/>
      <c r="L28" s="57"/>
      <c r="M28" s="65"/>
      <c r="N28" s="57"/>
      <c r="O28" s="57"/>
      <c r="P28" s="65"/>
      <c r="Q28" s="57"/>
      <c r="R28" s="57"/>
      <c r="S28" s="65"/>
      <c r="T28" s="57"/>
      <c r="U28" s="57"/>
      <c r="V28" s="65"/>
      <c r="W28" s="57"/>
      <c r="X28" s="57"/>
      <c r="Y28" s="57"/>
      <c r="Z28" s="65"/>
      <c r="AA28" s="65"/>
      <c r="AB28" s="65"/>
      <c r="AC28" s="65"/>
      <c r="AD28" s="57"/>
      <c r="AE28" s="65"/>
      <c r="AF28" s="57"/>
      <c r="AG28" s="57"/>
      <c r="AH28" s="65"/>
      <c r="AI28" s="57"/>
      <c r="AJ28" s="57"/>
      <c r="AK28" s="65"/>
      <c r="AL28" s="57"/>
      <c r="AM28" s="57"/>
      <c r="AN28" s="65"/>
      <c r="AO28" s="57"/>
      <c r="AP28" s="57"/>
      <c r="AQ28" s="65"/>
      <c r="AR28" s="57"/>
      <c r="AS28" s="57"/>
      <c r="AT28" s="57"/>
      <c r="AU28" s="57"/>
      <c r="AV28" s="57"/>
      <c r="AW28" s="66"/>
      <c r="BB28" s="59"/>
      <c r="BC28" s="59"/>
      <c r="BD28" s="59"/>
      <c r="BE28" s="59"/>
      <c r="BF28" s="59"/>
      <c r="BG28" s="59"/>
    </row>
    <row r="29" spans="1:59" s="58" customFormat="1" ht="20.25" customHeight="1">
      <c r="A29" s="54"/>
      <c r="B29" s="55"/>
      <c r="C29" s="56"/>
      <c r="D29" s="56"/>
      <c r="E29" s="57"/>
      <c r="F29" s="57"/>
      <c r="G29" s="57"/>
      <c r="H29" s="57"/>
      <c r="I29" s="57"/>
      <c r="J29" s="57"/>
      <c r="K29" s="57"/>
      <c r="L29" s="57"/>
      <c r="M29" s="57"/>
      <c r="N29" s="57"/>
      <c r="O29" s="57"/>
      <c r="P29" s="57"/>
      <c r="Q29" s="57"/>
      <c r="R29" s="57"/>
      <c r="S29" s="57"/>
      <c r="T29" s="57"/>
      <c r="U29" s="57"/>
      <c r="V29" s="57"/>
      <c r="W29" s="57"/>
      <c r="X29" s="57"/>
      <c r="Y29" s="57"/>
      <c r="Z29" s="57"/>
      <c r="AA29" s="57"/>
      <c r="AB29" s="57"/>
      <c r="AC29" s="57"/>
      <c r="AD29" s="57"/>
      <c r="AE29" s="57"/>
      <c r="AF29" s="57"/>
      <c r="AG29" s="57"/>
      <c r="AH29" s="57"/>
      <c r="AI29" s="57"/>
      <c r="AJ29" s="57"/>
      <c r="AK29" s="57"/>
      <c r="AL29" s="57"/>
      <c r="AM29" s="57"/>
      <c r="AN29" s="57"/>
      <c r="AO29" s="57"/>
      <c r="AP29" s="57"/>
      <c r="AQ29" s="57"/>
      <c r="AR29" s="57"/>
      <c r="AS29" s="57"/>
      <c r="AT29" s="57"/>
      <c r="AU29" s="57"/>
      <c r="AV29" s="57"/>
      <c r="AW29" s="66"/>
      <c r="BB29" s="59"/>
      <c r="BC29" s="59"/>
      <c r="BD29" s="59"/>
      <c r="BE29" s="59"/>
      <c r="BF29" s="59"/>
      <c r="BG29" s="59"/>
    </row>
    <row r="30" spans="1:59" s="58" customFormat="1" ht="20.25" customHeight="1">
      <c r="A30" s="54"/>
      <c r="B30" s="55"/>
      <c r="C30" s="56"/>
      <c r="D30" s="56"/>
      <c r="E30" s="57"/>
      <c r="F30" s="57"/>
      <c r="G30" s="57"/>
      <c r="H30" s="57"/>
      <c r="I30" s="57"/>
      <c r="J30" s="57"/>
      <c r="K30" s="57"/>
      <c r="L30" s="65"/>
      <c r="M30" s="57"/>
      <c r="N30" s="57"/>
      <c r="O30" s="57"/>
      <c r="P30" s="57"/>
      <c r="Q30" s="57"/>
      <c r="R30" s="57"/>
      <c r="S30" s="57"/>
      <c r="T30" s="57"/>
      <c r="U30" s="57"/>
      <c r="V30" s="57"/>
      <c r="W30" s="57"/>
      <c r="X30" s="57"/>
      <c r="Y30" s="57"/>
      <c r="Z30" s="57"/>
      <c r="AA30" s="57"/>
      <c r="AB30" s="57"/>
      <c r="AC30" s="57"/>
      <c r="AD30" s="57"/>
      <c r="AE30" s="57"/>
      <c r="AF30" s="57"/>
      <c r="AG30" s="65"/>
      <c r="AH30" s="57"/>
      <c r="AI30" s="57"/>
      <c r="AJ30" s="57"/>
      <c r="AK30" s="57"/>
      <c r="AL30" s="57"/>
      <c r="AM30" s="57"/>
      <c r="AN30" s="57"/>
      <c r="AO30" s="57"/>
      <c r="AP30" s="57"/>
      <c r="AQ30" s="57"/>
      <c r="AR30" s="57"/>
      <c r="AS30" s="57"/>
      <c r="AT30" s="57"/>
      <c r="AU30" s="57"/>
      <c r="AV30" s="57"/>
      <c r="AW30" s="66"/>
      <c r="BB30" s="59"/>
      <c r="BC30" s="59"/>
      <c r="BD30" s="59"/>
      <c r="BE30" s="59"/>
      <c r="BF30" s="59"/>
      <c r="BG30" s="59"/>
    </row>
    <row r="31" spans="1:59" s="58" customFormat="1" ht="20.25" customHeight="1">
      <c r="A31" s="54"/>
      <c r="B31" s="55"/>
      <c r="C31" s="56"/>
      <c r="D31" s="56"/>
      <c r="E31" s="57"/>
      <c r="F31" s="57"/>
      <c r="G31" s="57"/>
      <c r="H31" s="57"/>
      <c r="I31" s="57"/>
      <c r="J31" s="57"/>
      <c r="K31" s="57"/>
      <c r="L31" s="57"/>
      <c r="M31" s="57"/>
      <c r="N31" s="57"/>
      <c r="O31" s="57"/>
      <c r="P31" s="57"/>
      <c r="Q31" s="57"/>
      <c r="R31" s="57"/>
      <c r="S31" s="57"/>
      <c r="T31" s="57"/>
      <c r="U31" s="57"/>
      <c r="V31" s="57"/>
      <c r="W31" s="57"/>
      <c r="X31" s="57"/>
      <c r="Y31" s="57"/>
      <c r="Z31" s="57"/>
      <c r="AA31" s="57"/>
      <c r="AB31" s="57"/>
      <c r="AC31" s="57"/>
      <c r="AD31" s="57"/>
      <c r="AE31" s="57"/>
      <c r="AF31" s="57"/>
      <c r="AG31" s="57"/>
      <c r="AH31" s="57"/>
      <c r="AI31" s="57"/>
      <c r="AJ31" s="57"/>
      <c r="AK31" s="57"/>
      <c r="AL31" s="57"/>
      <c r="AM31" s="57"/>
      <c r="AN31" s="57"/>
      <c r="AO31" s="57"/>
      <c r="AP31" s="57"/>
      <c r="AQ31" s="57"/>
      <c r="AR31" s="57"/>
      <c r="AS31" s="57"/>
      <c r="AT31" s="57"/>
      <c r="AU31" s="57"/>
      <c r="AV31" s="57"/>
      <c r="AW31" s="66"/>
      <c r="BB31" s="59"/>
      <c r="BC31" s="59"/>
      <c r="BD31" s="59"/>
      <c r="BE31" s="59"/>
      <c r="BF31" s="59"/>
      <c r="BG31" s="59"/>
    </row>
    <row r="32" spans="1:59" s="58" customFormat="1" ht="20.25" customHeight="1">
      <c r="A32" s="54"/>
      <c r="B32" s="55"/>
      <c r="C32" s="56"/>
      <c r="D32" s="56"/>
      <c r="E32" s="57"/>
      <c r="F32" s="57"/>
      <c r="G32" s="57"/>
      <c r="H32" s="57"/>
      <c r="I32" s="57"/>
      <c r="J32" s="57"/>
      <c r="K32" s="57"/>
      <c r="L32" s="57"/>
      <c r="M32" s="57"/>
      <c r="N32" s="57"/>
      <c r="O32" s="57"/>
      <c r="P32" s="57"/>
      <c r="Q32" s="57"/>
      <c r="R32" s="57"/>
      <c r="S32" s="57"/>
      <c r="T32" s="57"/>
      <c r="U32" s="57"/>
      <c r="V32" s="57"/>
      <c r="W32" s="57"/>
      <c r="X32" s="57"/>
      <c r="Y32" s="57"/>
      <c r="Z32" s="57"/>
      <c r="AA32" s="57"/>
      <c r="AB32" s="57"/>
      <c r="AC32" s="57"/>
      <c r="AD32" s="57"/>
      <c r="AE32" s="57"/>
      <c r="AF32" s="57"/>
      <c r="AG32" s="57"/>
      <c r="AH32" s="57"/>
      <c r="AI32" s="57"/>
      <c r="AJ32" s="57"/>
      <c r="AK32" s="57"/>
      <c r="AL32" s="57"/>
      <c r="AM32" s="57"/>
      <c r="AN32" s="57"/>
      <c r="AO32" s="57"/>
      <c r="AP32" s="57"/>
      <c r="AQ32" s="57"/>
      <c r="AR32" s="57"/>
      <c r="AS32" s="57"/>
      <c r="AT32" s="57"/>
      <c r="AU32" s="57"/>
      <c r="AV32" s="57"/>
      <c r="AW32" s="66"/>
      <c r="BB32" s="59"/>
      <c r="BC32" s="59"/>
      <c r="BD32" s="59"/>
      <c r="BE32" s="59"/>
      <c r="BF32" s="59"/>
      <c r="BG32" s="59"/>
    </row>
  </sheetData>
  <mergeCells count="44">
    <mergeCell ref="A2:D2"/>
    <mergeCell ref="AY2:AZ2"/>
    <mergeCell ref="B3:D3"/>
    <mergeCell ref="AX3:AY3"/>
    <mergeCell ref="B4:D4"/>
    <mergeCell ref="E4:G4"/>
    <mergeCell ref="H4:J4"/>
    <mergeCell ref="K4:M4"/>
    <mergeCell ref="N4:P4"/>
    <mergeCell ref="Q4:S4"/>
    <mergeCell ref="AX4:AY4"/>
    <mergeCell ref="AF4:AH4"/>
    <mergeCell ref="AI4:AK4"/>
    <mergeCell ref="AL4:AN4"/>
    <mergeCell ref="AO4:AQ4"/>
    <mergeCell ref="AR4:AT4"/>
    <mergeCell ref="AU4:AW4"/>
    <mergeCell ref="B6:D6"/>
    <mergeCell ref="Z4:AB4"/>
    <mergeCell ref="AC4:AE4"/>
    <mergeCell ref="AX8:AX9"/>
    <mergeCell ref="B9:D9"/>
    <mergeCell ref="B7:D7"/>
    <mergeCell ref="B8:D8"/>
    <mergeCell ref="B5:D5"/>
    <mergeCell ref="T4:V4"/>
    <mergeCell ref="W4:Y4"/>
    <mergeCell ref="B11:D11"/>
    <mergeCell ref="B12:D12"/>
    <mergeCell ref="AX12:AY12"/>
    <mergeCell ref="B10:D10"/>
    <mergeCell ref="B13:D13"/>
    <mergeCell ref="B14:D14"/>
    <mergeCell ref="AX14:AX16"/>
    <mergeCell ref="B15:D15"/>
    <mergeCell ref="B16:D16"/>
    <mergeCell ref="B23:D23"/>
    <mergeCell ref="E25:F25"/>
    <mergeCell ref="B17:D17"/>
    <mergeCell ref="B18:D18"/>
    <mergeCell ref="B19:D19"/>
    <mergeCell ref="B20:D20"/>
    <mergeCell ref="B21:D21"/>
    <mergeCell ref="B22:D22"/>
  </mergeCells>
  <phoneticPr fontId="1"/>
  <printOptions horizontalCentered="1"/>
  <pageMargins left="0.25" right="0.25" top="0.75" bottom="0.75" header="0.3" footer="0.3"/>
  <pageSetup paperSize="8" scale="22" orientation="landscape" r:id="rId1"/>
  <headerFooter>
    <oddHeader>&amp;R&amp;"HG丸ｺﾞｼｯｸM-PRO,標準"&amp;14ＳＨＣ</oddHeader>
  </headerFooter>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757EC0-CCC0-49BB-A338-1E8A777C49B0}">
  <sheetPr>
    <tabColor rgb="FF7030A0"/>
    <pageSetUpPr fitToPage="1"/>
  </sheetPr>
  <dimension ref="A1:BG32"/>
  <sheetViews>
    <sheetView showGridLines="0" view="pageBreakPreview" topLeftCell="B1" zoomScale="34" zoomScaleNormal="100" zoomScaleSheetLayoutView="34" zoomScalePageLayoutView="80" workbookViewId="0">
      <pane xSplit="3" ySplit="6" topLeftCell="E19" activePane="bottomRight" state="frozen"/>
      <selection activeCell="B1" sqref="B1"/>
      <selection pane="topRight" activeCell="E1" sqref="E1"/>
      <selection pane="bottomLeft" activeCell="B6" sqref="B6"/>
      <selection pane="bottomRight" activeCell="R21" sqref="R21"/>
    </sheetView>
  </sheetViews>
  <sheetFormatPr defaultColWidth="9" defaultRowHeight="20.25" customHeight="1" outlineLevelRow="1"/>
  <cols>
    <col min="1" max="1" width="9" style="54"/>
    <col min="2" max="2" width="20.59765625" style="55" customWidth="1"/>
    <col min="3" max="4" width="20.59765625" style="56" customWidth="1"/>
    <col min="5" max="8" width="18.265625" style="57" customWidth="1"/>
    <col min="9" max="9" width="16.1328125" style="57" customWidth="1"/>
    <col min="10" max="22" width="18.265625" style="57" customWidth="1"/>
    <col min="23" max="23" width="23.33203125" style="57" bestFit="1" customWidth="1"/>
    <col min="24" max="43" width="18.265625" style="57" customWidth="1"/>
    <col min="44" max="44" width="23.33203125" style="57" bestFit="1" customWidth="1"/>
    <col min="45" max="46" width="18.265625" style="57" customWidth="1"/>
    <col min="47" max="47" width="23.33203125" style="57" bestFit="1" customWidth="1"/>
    <col min="48" max="48" width="18.265625" style="57" customWidth="1"/>
    <col min="49" max="49" width="18.265625" style="66" customWidth="1"/>
    <col min="50" max="51" width="10.06640625" style="58" customWidth="1"/>
    <col min="52" max="52" width="12.33203125" style="58" customWidth="1"/>
    <col min="53" max="53" width="2.33203125" style="58" customWidth="1"/>
    <col min="54" max="58" width="9" style="59"/>
    <col min="59" max="59" width="25.796875" style="59" customWidth="1"/>
    <col min="60" max="16384" width="9" style="59"/>
  </cols>
  <sheetData>
    <row r="1" spans="1:53" ht="20.25" customHeight="1">
      <c r="AW1" s="57"/>
    </row>
    <row r="2" spans="1:53" s="63" customFormat="1" ht="80.25" customHeight="1">
      <c r="A2" s="180" t="s">
        <v>39</v>
      </c>
      <c r="B2" s="180"/>
      <c r="C2" s="180"/>
      <c r="D2" s="180"/>
      <c r="E2" s="60"/>
      <c r="F2" s="60"/>
      <c r="G2" s="60"/>
      <c r="H2" s="60"/>
      <c r="I2" s="60"/>
      <c r="J2" s="60"/>
      <c r="K2" s="60"/>
      <c r="L2" s="60"/>
      <c r="M2" s="60"/>
      <c r="N2" s="60"/>
      <c r="O2" s="60"/>
      <c r="P2" s="60"/>
      <c r="Q2" s="60"/>
      <c r="R2" s="60"/>
      <c r="S2" s="60"/>
      <c r="T2" s="60"/>
      <c r="U2" s="60"/>
      <c r="V2" s="60"/>
      <c r="W2" s="60"/>
      <c r="X2" s="60"/>
      <c r="Y2" s="60"/>
      <c r="Z2" s="60"/>
      <c r="AA2" s="60"/>
      <c r="AB2" s="60"/>
      <c r="AC2" s="60"/>
      <c r="AD2" s="60"/>
      <c r="AE2" s="60"/>
      <c r="AF2" s="60"/>
      <c r="AG2" s="60"/>
      <c r="AH2" s="60"/>
      <c r="AI2" s="60"/>
      <c r="AJ2" s="60"/>
      <c r="AK2" s="60"/>
      <c r="AL2" s="60"/>
      <c r="AM2" s="60"/>
      <c r="AN2" s="60"/>
      <c r="AO2" s="60"/>
      <c r="AP2" s="60"/>
      <c r="AQ2" s="60"/>
      <c r="AR2" s="60"/>
      <c r="AS2" s="60"/>
      <c r="AT2" s="60"/>
      <c r="AU2" s="60"/>
      <c r="AV2" s="60"/>
      <c r="AW2" s="60"/>
      <c r="AX2" s="61"/>
      <c r="AY2" s="181"/>
      <c r="AZ2" s="182"/>
      <c r="BA2" s="62"/>
    </row>
    <row r="3" spans="1:53" s="63" customFormat="1" ht="80.25" customHeight="1">
      <c r="A3" s="64"/>
      <c r="B3" s="183" t="s">
        <v>57</v>
      </c>
      <c r="C3" s="183"/>
      <c r="D3" s="183"/>
      <c r="E3" s="60"/>
      <c r="F3" s="60"/>
      <c r="G3" s="60"/>
      <c r="H3" s="60"/>
      <c r="I3" s="60"/>
      <c r="J3" s="60"/>
      <c r="K3" s="60"/>
      <c r="L3" s="60"/>
      <c r="M3" s="60"/>
      <c r="N3" s="60"/>
      <c r="O3" s="60"/>
      <c r="P3" s="60"/>
      <c r="Q3" s="60"/>
      <c r="R3" s="60"/>
      <c r="S3" s="60"/>
      <c r="T3" s="60"/>
      <c r="U3" s="60"/>
      <c r="V3" s="60"/>
      <c r="W3" s="60"/>
      <c r="X3" s="60"/>
      <c r="Y3" s="60"/>
      <c r="Z3" s="60"/>
      <c r="AA3" s="60"/>
      <c r="AB3" s="60"/>
      <c r="AC3" s="60"/>
      <c r="AD3" s="60"/>
      <c r="AE3" s="60"/>
      <c r="AF3" s="60"/>
      <c r="AG3" s="60"/>
      <c r="AH3" s="60"/>
      <c r="AI3" s="60"/>
      <c r="AJ3" s="60"/>
      <c r="AK3" s="60"/>
      <c r="AL3" s="60"/>
      <c r="AM3" s="60"/>
      <c r="AN3" s="60"/>
      <c r="AO3" s="60"/>
      <c r="AP3" s="60"/>
      <c r="AQ3" s="60"/>
      <c r="AR3" s="60"/>
      <c r="AS3" s="60"/>
      <c r="AT3" s="60"/>
      <c r="AU3" s="60"/>
      <c r="AV3" s="60"/>
      <c r="AW3" s="60" t="s">
        <v>46</v>
      </c>
      <c r="AX3" s="184"/>
      <c r="AY3" s="184"/>
    </row>
    <row r="4" spans="1:53" ht="76.05" customHeight="1">
      <c r="B4" s="185"/>
      <c r="C4" s="186"/>
      <c r="D4" s="187"/>
      <c r="E4" s="188" t="s">
        <v>14</v>
      </c>
      <c r="F4" s="189"/>
      <c r="G4" s="190"/>
      <c r="H4" s="188" t="s">
        <v>13</v>
      </c>
      <c r="I4" s="189"/>
      <c r="J4" s="190"/>
      <c r="K4" s="188" t="s">
        <v>12</v>
      </c>
      <c r="L4" s="189"/>
      <c r="M4" s="190"/>
      <c r="N4" s="188" t="s">
        <v>11</v>
      </c>
      <c r="O4" s="189"/>
      <c r="P4" s="190"/>
      <c r="Q4" s="188" t="s">
        <v>10</v>
      </c>
      <c r="R4" s="189"/>
      <c r="S4" s="190"/>
      <c r="T4" s="188" t="s">
        <v>9</v>
      </c>
      <c r="U4" s="189"/>
      <c r="V4" s="190"/>
      <c r="W4" s="192" t="s">
        <v>43</v>
      </c>
      <c r="X4" s="193"/>
      <c r="Y4" s="194"/>
      <c r="Z4" s="188" t="s">
        <v>6</v>
      </c>
      <c r="AA4" s="189"/>
      <c r="AB4" s="190"/>
      <c r="AC4" s="188" t="s">
        <v>50</v>
      </c>
      <c r="AD4" s="189"/>
      <c r="AE4" s="190"/>
      <c r="AF4" s="188" t="s">
        <v>51</v>
      </c>
      <c r="AG4" s="189"/>
      <c r="AH4" s="190"/>
      <c r="AI4" s="188" t="s">
        <v>52</v>
      </c>
      <c r="AJ4" s="189"/>
      <c r="AK4" s="190"/>
      <c r="AL4" s="188" t="s">
        <v>53</v>
      </c>
      <c r="AM4" s="189"/>
      <c r="AN4" s="190"/>
      <c r="AO4" s="188" t="s">
        <v>54</v>
      </c>
      <c r="AP4" s="189"/>
      <c r="AQ4" s="190"/>
      <c r="AR4" s="192" t="s">
        <v>44</v>
      </c>
      <c r="AS4" s="193"/>
      <c r="AT4" s="194"/>
      <c r="AU4" s="235" t="s">
        <v>45</v>
      </c>
      <c r="AV4" s="236"/>
      <c r="AW4" s="237"/>
      <c r="AX4" s="191"/>
      <c r="AY4" s="191"/>
      <c r="AZ4" s="65"/>
      <c r="BA4" s="65"/>
    </row>
    <row r="5" spans="1:53" ht="88.5" customHeight="1">
      <c r="B5" s="210"/>
      <c r="C5" s="189"/>
      <c r="D5" s="190"/>
      <c r="E5" s="97" t="s">
        <v>47</v>
      </c>
      <c r="F5" s="98" t="s">
        <v>48</v>
      </c>
      <c r="G5" s="99" t="s">
        <v>49</v>
      </c>
      <c r="H5" s="97" t="s">
        <v>47</v>
      </c>
      <c r="I5" s="98" t="s">
        <v>48</v>
      </c>
      <c r="J5" s="99" t="s">
        <v>49</v>
      </c>
      <c r="K5" s="97" t="s">
        <v>47</v>
      </c>
      <c r="L5" s="98" t="s">
        <v>48</v>
      </c>
      <c r="M5" s="99" t="s">
        <v>49</v>
      </c>
      <c r="N5" s="97" t="s">
        <v>47</v>
      </c>
      <c r="O5" s="98" t="s">
        <v>48</v>
      </c>
      <c r="P5" s="99" t="s">
        <v>49</v>
      </c>
      <c r="Q5" s="97" t="s">
        <v>47</v>
      </c>
      <c r="R5" s="98" t="s">
        <v>48</v>
      </c>
      <c r="S5" s="99" t="s">
        <v>49</v>
      </c>
      <c r="T5" s="97" t="s">
        <v>47</v>
      </c>
      <c r="U5" s="98" t="s">
        <v>48</v>
      </c>
      <c r="V5" s="99" t="s">
        <v>49</v>
      </c>
      <c r="W5" s="97" t="s">
        <v>47</v>
      </c>
      <c r="X5" s="98" t="s">
        <v>48</v>
      </c>
      <c r="Y5" s="99" t="s">
        <v>49</v>
      </c>
      <c r="Z5" s="97" t="s">
        <v>47</v>
      </c>
      <c r="AA5" s="98" t="s">
        <v>48</v>
      </c>
      <c r="AB5" s="99" t="s">
        <v>49</v>
      </c>
      <c r="AC5" s="97" t="s">
        <v>47</v>
      </c>
      <c r="AD5" s="98" t="s">
        <v>48</v>
      </c>
      <c r="AE5" s="99" t="s">
        <v>49</v>
      </c>
      <c r="AF5" s="97" t="s">
        <v>47</v>
      </c>
      <c r="AG5" s="98" t="s">
        <v>48</v>
      </c>
      <c r="AH5" s="99" t="s">
        <v>49</v>
      </c>
      <c r="AI5" s="97" t="s">
        <v>47</v>
      </c>
      <c r="AJ5" s="98" t="s">
        <v>48</v>
      </c>
      <c r="AK5" s="99" t="s">
        <v>49</v>
      </c>
      <c r="AL5" s="97" t="s">
        <v>47</v>
      </c>
      <c r="AM5" s="98" t="s">
        <v>48</v>
      </c>
      <c r="AN5" s="99" t="s">
        <v>49</v>
      </c>
      <c r="AO5" s="97" t="s">
        <v>47</v>
      </c>
      <c r="AP5" s="98" t="s">
        <v>48</v>
      </c>
      <c r="AQ5" s="99" t="s">
        <v>49</v>
      </c>
      <c r="AR5" s="97" t="s">
        <v>47</v>
      </c>
      <c r="AS5" s="98" t="s">
        <v>48</v>
      </c>
      <c r="AT5" s="99" t="s">
        <v>49</v>
      </c>
      <c r="AU5" s="97" t="s">
        <v>47</v>
      </c>
      <c r="AV5" s="98" t="s">
        <v>48</v>
      </c>
      <c r="AW5" s="99" t="s">
        <v>49</v>
      </c>
      <c r="AX5" s="65"/>
      <c r="AY5" s="65"/>
      <c r="AZ5" s="65"/>
      <c r="BA5" s="65"/>
    </row>
    <row r="6" spans="1:53" ht="99" customHeight="1">
      <c r="B6" s="238" t="s">
        <v>18</v>
      </c>
      <c r="C6" s="239"/>
      <c r="D6" s="240"/>
      <c r="E6" s="92">
        <f>E12+E17+E23</f>
        <v>5600</v>
      </c>
      <c r="F6" s="93">
        <f>F12+F17+F23</f>
        <v>3687.9</v>
      </c>
      <c r="G6" s="88">
        <f>F6/E6</f>
        <v>0.6585535714285714</v>
      </c>
      <c r="H6" s="82">
        <f>H12+H17+H23</f>
        <v>6000</v>
      </c>
      <c r="I6" s="81">
        <f>I12+I17+I23</f>
        <v>5234.3999999999996</v>
      </c>
      <c r="J6" s="88">
        <f>I6/H6</f>
        <v>0.87239999999999995</v>
      </c>
      <c r="K6" s="81">
        <f>K12+K17+K23</f>
        <v>5600</v>
      </c>
      <c r="L6" s="81">
        <f>L12+L17+L23</f>
        <v>5572.2</v>
      </c>
      <c r="M6" s="88">
        <f>L6/K6</f>
        <v>0.99503571428571425</v>
      </c>
      <c r="N6" s="81">
        <f>N12+N17+N23</f>
        <v>6000</v>
      </c>
      <c r="O6" s="81">
        <f>O12+O17+O23</f>
        <v>3429.2</v>
      </c>
      <c r="P6" s="88">
        <f>O6/N6</f>
        <v>0.57153333333333334</v>
      </c>
      <c r="Q6" s="81">
        <f>Q12+Q17+Q23</f>
        <v>5600</v>
      </c>
      <c r="R6" s="81">
        <f>R12+R17+R23</f>
        <v>3765</v>
      </c>
      <c r="S6" s="88">
        <f>R6/Q6</f>
        <v>0.67232142857142863</v>
      </c>
      <c r="T6" s="81">
        <f>T12+T17+T23</f>
        <v>6000</v>
      </c>
      <c r="U6" s="81">
        <f>U12+U17+U23</f>
        <v>0</v>
      </c>
      <c r="V6" s="88">
        <f>U6/T6</f>
        <v>0</v>
      </c>
      <c r="W6" s="81">
        <f>W12+W17+W23</f>
        <v>34800</v>
      </c>
      <c r="X6" s="81">
        <f>X12+X17+X23</f>
        <v>21688.7</v>
      </c>
      <c r="Y6" s="88">
        <f>X6/W6</f>
        <v>0.62323850574712647</v>
      </c>
      <c r="Z6" s="81">
        <f>Z12+Z17+Z23</f>
        <v>5600</v>
      </c>
      <c r="AA6" s="81">
        <f>AA12+AA17+AA23</f>
        <v>0</v>
      </c>
      <c r="AB6" s="88">
        <f>AA6/Z6</f>
        <v>0</v>
      </c>
      <c r="AC6" s="81">
        <f>AC12+AC17+AC23</f>
        <v>6000</v>
      </c>
      <c r="AD6" s="81">
        <f>AD12+AD17+AD23</f>
        <v>0</v>
      </c>
      <c r="AE6" s="88">
        <f>AD6/AC6</f>
        <v>0</v>
      </c>
      <c r="AF6" s="81">
        <f>AF12+AF17+AF23</f>
        <v>5600</v>
      </c>
      <c r="AG6" s="81">
        <f>AG12+AG17+AG23</f>
        <v>0</v>
      </c>
      <c r="AH6" s="88">
        <f>AG6/AF6</f>
        <v>0</v>
      </c>
      <c r="AI6" s="81">
        <f>AI12+AI17+AI23</f>
        <v>6000</v>
      </c>
      <c r="AJ6" s="81">
        <f>AJ12+AJ17+AJ23</f>
        <v>0</v>
      </c>
      <c r="AK6" s="88">
        <f>AJ6/AI6</f>
        <v>0</v>
      </c>
      <c r="AL6" s="81">
        <f>AL12+AL17+AL23</f>
        <v>5600</v>
      </c>
      <c r="AM6" s="81">
        <f>AM12+AM17+AM23</f>
        <v>0</v>
      </c>
      <c r="AN6" s="88">
        <f>AM6/AL6</f>
        <v>0</v>
      </c>
      <c r="AO6" s="81">
        <f>AO12+AO17+AO23</f>
        <v>6000</v>
      </c>
      <c r="AP6" s="81">
        <f>AP12+AP17+AP23</f>
        <v>0</v>
      </c>
      <c r="AQ6" s="88">
        <f>AP6/AO6</f>
        <v>0</v>
      </c>
      <c r="AR6" s="81">
        <f>AR12+AR17+AR23</f>
        <v>34800</v>
      </c>
      <c r="AS6" s="81">
        <f>AS12+AS17+AS23</f>
        <v>0</v>
      </c>
      <c r="AT6" s="88">
        <f>AS6/AR6</f>
        <v>0</v>
      </c>
      <c r="AU6" s="81">
        <f>AU12+AU17+AU23</f>
        <v>69600</v>
      </c>
      <c r="AV6" s="81">
        <f>AV12+AV17+AV23</f>
        <v>21688.7</v>
      </c>
      <c r="AW6" s="100">
        <f>AV6/AU6</f>
        <v>0.31161925287356323</v>
      </c>
      <c r="AX6" s="65"/>
      <c r="AY6" s="65"/>
      <c r="AZ6" s="65"/>
      <c r="BA6" s="65"/>
    </row>
    <row r="7" spans="1:53" ht="80.25" customHeight="1">
      <c r="B7" s="214" t="s">
        <v>55</v>
      </c>
      <c r="C7" s="215"/>
      <c r="D7" s="216"/>
      <c r="E7" s="78" t="s">
        <v>5</v>
      </c>
      <c r="F7" s="95" t="s">
        <v>4</v>
      </c>
      <c r="G7" s="111" t="s">
        <v>56</v>
      </c>
      <c r="H7" s="74" t="s">
        <v>5</v>
      </c>
      <c r="I7" s="68" t="s">
        <v>4</v>
      </c>
      <c r="J7" s="111" t="s">
        <v>56</v>
      </c>
      <c r="K7" s="68" t="s">
        <v>5</v>
      </c>
      <c r="L7" s="68" t="s">
        <v>4</v>
      </c>
      <c r="M7" s="111" t="s">
        <v>56</v>
      </c>
      <c r="N7" s="68" t="s">
        <v>5</v>
      </c>
      <c r="O7" s="68" t="s">
        <v>4</v>
      </c>
      <c r="P7" s="111" t="s">
        <v>56</v>
      </c>
      <c r="Q7" s="68" t="s">
        <v>5</v>
      </c>
      <c r="R7" s="68" t="s">
        <v>4</v>
      </c>
      <c r="S7" s="111" t="s">
        <v>56</v>
      </c>
      <c r="T7" s="68" t="s">
        <v>5</v>
      </c>
      <c r="U7" s="68" t="s">
        <v>4</v>
      </c>
      <c r="V7" s="111" t="s">
        <v>56</v>
      </c>
      <c r="W7" s="68" t="s">
        <v>5</v>
      </c>
      <c r="X7" s="68" t="s">
        <v>4</v>
      </c>
      <c r="Y7" s="111" t="s">
        <v>56</v>
      </c>
      <c r="Z7" s="68" t="s">
        <v>5</v>
      </c>
      <c r="AA7" s="68" t="s">
        <v>4</v>
      </c>
      <c r="AB7" s="111" t="s">
        <v>56</v>
      </c>
      <c r="AC7" s="68" t="s">
        <v>5</v>
      </c>
      <c r="AD7" s="68" t="s">
        <v>4</v>
      </c>
      <c r="AE7" s="111" t="s">
        <v>56</v>
      </c>
      <c r="AF7" s="68" t="s">
        <v>5</v>
      </c>
      <c r="AG7" s="68" t="s">
        <v>4</v>
      </c>
      <c r="AH7" s="111" t="s">
        <v>56</v>
      </c>
      <c r="AI7" s="68" t="s">
        <v>5</v>
      </c>
      <c r="AJ7" s="68" t="s">
        <v>4</v>
      </c>
      <c r="AK7" s="111" t="s">
        <v>56</v>
      </c>
      <c r="AL7" s="68" t="s">
        <v>5</v>
      </c>
      <c r="AM7" s="68" t="s">
        <v>4</v>
      </c>
      <c r="AN7" s="111" t="s">
        <v>56</v>
      </c>
      <c r="AO7" s="68" t="s">
        <v>5</v>
      </c>
      <c r="AP7" s="68" t="s">
        <v>4</v>
      </c>
      <c r="AQ7" s="111" t="s">
        <v>56</v>
      </c>
      <c r="AR7" s="68" t="s">
        <v>5</v>
      </c>
      <c r="AS7" s="68" t="s">
        <v>4</v>
      </c>
      <c r="AT7" s="111" t="s">
        <v>56</v>
      </c>
      <c r="AU7" s="68" t="s">
        <v>5</v>
      </c>
      <c r="AV7" s="68" t="s">
        <v>4</v>
      </c>
      <c r="AW7" s="111" t="s">
        <v>56</v>
      </c>
      <c r="AX7" s="65"/>
      <c r="AY7" s="65"/>
      <c r="BA7" s="54"/>
    </row>
    <row r="8" spans="1:53" ht="80.25" customHeight="1">
      <c r="B8" s="201" t="s">
        <v>0</v>
      </c>
      <c r="C8" s="202"/>
      <c r="D8" s="203"/>
      <c r="E8" s="76">
        <v>900</v>
      </c>
      <c r="F8" s="89">
        <v>400</v>
      </c>
      <c r="G8" s="96">
        <f>F8/E8</f>
        <v>0.44444444444444442</v>
      </c>
      <c r="H8" s="72">
        <v>900</v>
      </c>
      <c r="I8" s="67">
        <v>0</v>
      </c>
      <c r="J8" s="96">
        <f>I8/H8</f>
        <v>0</v>
      </c>
      <c r="K8" s="67">
        <v>900</v>
      </c>
      <c r="L8" s="67">
        <v>0</v>
      </c>
      <c r="M8" s="96">
        <f>L8/K8</f>
        <v>0</v>
      </c>
      <c r="N8" s="67">
        <v>900</v>
      </c>
      <c r="O8" s="67">
        <v>0</v>
      </c>
      <c r="P8" s="96">
        <f>O8/N8</f>
        <v>0</v>
      </c>
      <c r="Q8" s="67">
        <v>900</v>
      </c>
      <c r="R8" s="67">
        <v>400</v>
      </c>
      <c r="S8" s="96">
        <f>R8/Q8</f>
        <v>0.44444444444444442</v>
      </c>
      <c r="T8" s="67">
        <v>900</v>
      </c>
      <c r="U8" s="67"/>
      <c r="V8" s="96">
        <f>U8/T8</f>
        <v>0</v>
      </c>
      <c r="W8" s="67">
        <f t="shared" ref="W8:X10" si="0">E8+H8+K8+N8+Q8+T8</f>
        <v>5400</v>
      </c>
      <c r="X8" s="67">
        <f t="shared" si="0"/>
        <v>800</v>
      </c>
      <c r="Y8" s="96">
        <f>X8/W8</f>
        <v>0.14814814814814814</v>
      </c>
      <c r="Z8" s="67">
        <v>900</v>
      </c>
      <c r="AA8" s="67"/>
      <c r="AB8" s="96">
        <f>AA8/Z8</f>
        <v>0</v>
      </c>
      <c r="AC8" s="67">
        <v>900</v>
      </c>
      <c r="AD8" s="67"/>
      <c r="AE8" s="96">
        <f>AD8/AC8</f>
        <v>0</v>
      </c>
      <c r="AF8" s="67">
        <v>900</v>
      </c>
      <c r="AG8" s="67"/>
      <c r="AH8" s="96">
        <f>AG8/AF8</f>
        <v>0</v>
      </c>
      <c r="AI8" s="67">
        <v>900</v>
      </c>
      <c r="AJ8" s="67"/>
      <c r="AK8" s="96">
        <f>AJ8/AI8</f>
        <v>0</v>
      </c>
      <c r="AL8" s="67">
        <v>900</v>
      </c>
      <c r="AM8" s="67"/>
      <c r="AN8" s="96">
        <f>AM8/AL8</f>
        <v>0</v>
      </c>
      <c r="AO8" s="67">
        <v>900</v>
      </c>
      <c r="AP8" s="67"/>
      <c r="AQ8" s="96">
        <f>AP8/AO8</f>
        <v>0</v>
      </c>
      <c r="AR8" s="67">
        <f>SUM(Z8:AP8)</f>
        <v>5400</v>
      </c>
      <c r="AS8" s="67">
        <f>AA8+AD8+AG8+AJ8+AM8+AP8</f>
        <v>0</v>
      </c>
      <c r="AT8" s="96">
        <f>AS8/AR8</f>
        <v>0</v>
      </c>
      <c r="AU8" s="67">
        <f t="shared" ref="AU8:AV11" si="1">W8+AR8</f>
        <v>10800</v>
      </c>
      <c r="AV8" s="67">
        <f t="shared" si="1"/>
        <v>800</v>
      </c>
      <c r="AW8" s="101">
        <f>AV8/AU8</f>
        <v>7.407407407407407E-2</v>
      </c>
      <c r="AX8" s="191"/>
      <c r="BA8" s="54"/>
    </row>
    <row r="9" spans="1:53" ht="80.25" customHeight="1">
      <c r="B9" s="201" t="s">
        <v>3</v>
      </c>
      <c r="C9" s="202"/>
      <c r="D9" s="203"/>
      <c r="E9" s="76">
        <v>200</v>
      </c>
      <c r="F9" s="67">
        <v>0</v>
      </c>
      <c r="G9" s="96">
        <f>F9/E9</f>
        <v>0</v>
      </c>
      <c r="H9" s="72">
        <v>200</v>
      </c>
      <c r="I9" s="67">
        <v>200</v>
      </c>
      <c r="J9" s="96">
        <f>I9/H9</f>
        <v>1</v>
      </c>
      <c r="K9" s="67">
        <v>200</v>
      </c>
      <c r="L9" s="67">
        <v>0</v>
      </c>
      <c r="M9" s="96">
        <f>L9/K9</f>
        <v>0</v>
      </c>
      <c r="N9" s="67">
        <v>200</v>
      </c>
      <c r="O9" s="67">
        <v>0</v>
      </c>
      <c r="P9" s="96">
        <f>O9/N9</f>
        <v>0</v>
      </c>
      <c r="Q9" s="67">
        <v>200</v>
      </c>
      <c r="R9" s="67">
        <v>0</v>
      </c>
      <c r="S9" s="96">
        <f>R9/Q9</f>
        <v>0</v>
      </c>
      <c r="T9" s="67">
        <v>200</v>
      </c>
      <c r="U9" s="67"/>
      <c r="V9" s="96">
        <f>U9/T9</f>
        <v>0</v>
      </c>
      <c r="W9" s="67">
        <f t="shared" si="0"/>
        <v>1200</v>
      </c>
      <c r="X9" s="67">
        <f t="shared" si="0"/>
        <v>200</v>
      </c>
      <c r="Y9" s="96">
        <f>X9/W9</f>
        <v>0.16666666666666666</v>
      </c>
      <c r="Z9" s="67">
        <v>200</v>
      </c>
      <c r="AA9" s="67"/>
      <c r="AB9" s="96">
        <f>AA9/Z9</f>
        <v>0</v>
      </c>
      <c r="AC9" s="67">
        <v>200</v>
      </c>
      <c r="AD9" s="67"/>
      <c r="AE9" s="96">
        <f>AD9/AC9</f>
        <v>0</v>
      </c>
      <c r="AF9" s="67">
        <v>200</v>
      </c>
      <c r="AG9" s="67"/>
      <c r="AH9" s="96">
        <f>AG9/AF9</f>
        <v>0</v>
      </c>
      <c r="AI9" s="67">
        <v>200</v>
      </c>
      <c r="AJ9" s="67"/>
      <c r="AK9" s="96">
        <f>AJ9/AI9</f>
        <v>0</v>
      </c>
      <c r="AL9" s="67">
        <v>200</v>
      </c>
      <c r="AM9" s="67"/>
      <c r="AN9" s="96">
        <f>AM9/AL9</f>
        <v>0</v>
      </c>
      <c r="AO9" s="67">
        <v>200</v>
      </c>
      <c r="AP9" s="67"/>
      <c r="AQ9" s="96">
        <f>AP9/AO9</f>
        <v>0</v>
      </c>
      <c r="AR9" s="67">
        <f>Z9+AC9+AF9+AI9+AL9+AO9</f>
        <v>1200</v>
      </c>
      <c r="AS9" s="67">
        <f>AA9+AD9+AG9+AJ9+AM9+AP9</f>
        <v>0</v>
      </c>
      <c r="AT9" s="96">
        <f>AS9/AR9</f>
        <v>0</v>
      </c>
      <c r="AU9" s="67">
        <f t="shared" si="1"/>
        <v>2400</v>
      </c>
      <c r="AV9" s="67">
        <f t="shared" si="1"/>
        <v>200</v>
      </c>
      <c r="AW9" s="101">
        <f>AV9/AU9</f>
        <v>8.3333333333333329E-2</v>
      </c>
      <c r="AX9" s="191"/>
      <c r="BA9" s="54"/>
    </row>
    <row r="10" spans="1:53" ht="80.25" customHeight="1" outlineLevel="1">
      <c r="B10" s="201" t="s">
        <v>2</v>
      </c>
      <c r="C10" s="202"/>
      <c r="D10" s="203"/>
      <c r="E10" s="76"/>
      <c r="F10" s="67">
        <v>60</v>
      </c>
      <c r="G10" s="96" t="e">
        <f>F10/E10</f>
        <v>#DIV/0!</v>
      </c>
      <c r="H10" s="72"/>
      <c r="I10" s="67">
        <v>0</v>
      </c>
      <c r="J10" s="96" t="e">
        <f>I10/H10</f>
        <v>#DIV/0!</v>
      </c>
      <c r="K10" s="67"/>
      <c r="L10" s="67">
        <v>30</v>
      </c>
      <c r="M10" s="96" t="e">
        <f>L10/K10</f>
        <v>#DIV/0!</v>
      </c>
      <c r="N10" s="67"/>
      <c r="O10" s="67">
        <v>180</v>
      </c>
      <c r="P10" s="96" t="e">
        <f>O10/N10</f>
        <v>#DIV/0!</v>
      </c>
      <c r="Q10" s="67"/>
      <c r="R10" s="67">
        <v>0</v>
      </c>
      <c r="S10" s="96" t="e">
        <f>R10/Q10</f>
        <v>#DIV/0!</v>
      </c>
      <c r="T10" s="67"/>
      <c r="U10" s="67"/>
      <c r="V10" s="96" t="e">
        <f>U10/T10</f>
        <v>#DIV/0!</v>
      </c>
      <c r="W10" s="67">
        <f t="shared" si="0"/>
        <v>0</v>
      </c>
      <c r="X10" s="67">
        <f t="shared" si="0"/>
        <v>270</v>
      </c>
      <c r="Y10" s="96" t="e">
        <f>X10/W10</f>
        <v>#DIV/0!</v>
      </c>
      <c r="Z10" s="67"/>
      <c r="AA10" s="67"/>
      <c r="AB10" s="96" t="e">
        <f>AA10/Z10</f>
        <v>#DIV/0!</v>
      </c>
      <c r="AC10" s="67"/>
      <c r="AD10" s="67"/>
      <c r="AE10" s="96" t="e">
        <f>AD10/AC10</f>
        <v>#DIV/0!</v>
      </c>
      <c r="AF10" s="67"/>
      <c r="AG10" s="67"/>
      <c r="AH10" s="96" t="e">
        <f>AG10/AF10</f>
        <v>#DIV/0!</v>
      </c>
      <c r="AI10" s="67"/>
      <c r="AJ10" s="67"/>
      <c r="AK10" s="96" t="e">
        <f>AJ10/AI10</f>
        <v>#DIV/0!</v>
      </c>
      <c r="AL10" s="67"/>
      <c r="AM10" s="67"/>
      <c r="AN10" s="96" t="e">
        <f>AM10/AL10</f>
        <v>#DIV/0!</v>
      </c>
      <c r="AO10" s="67"/>
      <c r="AP10" s="67"/>
      <c r="AQ10" s="96" t="e">
        <f>AP10/AO10</f>
        <v>#DIV/0!</v>
      </c>
      <c r="AR10" s="67">
        <f>Z10+AC10+AF10+AI10+AL10+AO10</f>
        <v>0</v>
      </c>
      <c r="AS10" s="67">
        <f>AA10+AD10+AG10+AJ10+AM10+AP10</f>
        <v>0</v>
      </c>
      <c r="AT10" s="96" t="e">
        <f>AS10/AR10</f>
        <v>#DIV/0!</v>
      </c>
      <c r="AU10" s="67">
        <f t="shared" si="1"/>
        <v>0</v>
      </c>
      <c r="AV10" s="67">
        <f t="shared" si="1"/>
        <v>270</v>
      </c>
      <c r="AW10" s="101" t="e">
        <f>AV10/AU10</f>
        <v>#DIV/0!</v>
      </c>
      <c r="BA10" s="54"/>
    </row>
    <row r="11" spans="1:53" ht="80.25" customHeight="1" outlineLevel="1">
      <c r="B11" s="201" t="s">
        <v>42</v>
      </c>
      <c r="C11" s="202"/>
      <c r="D11" s="203"/>
      <c r="E11" s="77"/>
      <c r="F11" s="67">
        <v>70</v>
      </c>
      <c r="G11" s="96" t="e">
        <f>F11/E11</f>
        <v>#DIV/0!</v>
      </c>
      <c r="H11" s="73"/>
      <c r="I11" s="71">
        <v>65</v>
      </c>
      <c r="J11" s="96" t="e">
        <f>I11/H11</f>
        <v>#DIV/0!</v>
      </c>
      <c r="K11" s="71"/>
      <c r="L11" s="71">
        <v>65</v>
      </c>
      <c r="M11" s="96" t="e">
        <f>L11/K11</f>
        <v>#DIV/0!</v>
      </c>
      <c r="N11" s="71"/>
      <c r="O11" s="71">
        <v>65</v>
      </c>
      <c r="P11" s="96" t="e">
        <f>O11/N11</f>
        <v>#DIV/0!</v>
      </c>
      <c r="Q11" s="71"/>
      <c r="R11" s="71">
        <v>85</v>
      </c>
      <c r="S11" s="96" t="e">
        <f>R11/Q11</f>
        <v>#DIV/0!</v>
      </c>
      <c r="T11" s="71"/>
      <c r="U11" s="71"/>
      <c r="V11" s="96" t="e">
        <f>U11/T11</f>
        <v>#DIV/0!</v>
      </c>
      <c r="W11" s="71"/>
      <c r="X11" s="71">
        <f>F11+I11+L11+O11+R11+U11</f>
        <v>350</v>
      </c>
      <c r="Y11" s="96" t="e">
        <f>X11/W11</f>
        <v>#DIV/0!</v>
      </c>
      <c r="Z11" s="71"/>
      <c r="AA11" s="71"/>
      <c r="AB11" s="96" t="e">
        <f>AA11/Z11</f>
        <v>#DIV/0!</v>
      </c>
      <c r="AC11" s="71"/>
      <c r="AD11" s="71"/>
      <c r="AE11" s="96" t="e">
        <f>AD11/AC11</f>
        <v>#DIV/0!</v>
      </c>
      <c r="AF11" s="71"/>
      <c r="AG11" s="71"/>
      <c r="AH11" s="96" t="e">
        <f>AG11/AF11</f>
        <v>#DIV/0!</v>
      </c>
      <c r="AI11" s="71"/>
      <c r="AJ11" s="71"/>
      <c r="AK11" s="96" t="e">
        <f>AJ11/AI11</f>
        <v>#DIV/0!</v>
      </c>
      <c r="AL11" s="71"/>
      <c r="AM11" s="71"/>
      <c r="AN11" s="96" t="e">
        <f>AM11/AL11</f>
        <v>#DIV/0!</v>
      </c>
      <c r="AO11" s="71"/>
      <c r="AP11" s="71"/>
      <c r="AQ11" s="96" t="e">
        <f>AP11/AO11</f>
        <v>#DIV/0!</v>
      </c>
      <c r="AR11" s="71"/>
      <c r="AS11" s="71">
        <f>AA11+AD11+AG11+AJ11+AM11+AP11</f>
        <v>0</v>
      </c>
      <c r="AT11" s="96" t="e">
        <f>AS11/AR11</f>
        <v>#DIV/0!</v>
      </c>
      <c r="AU11" s="71">
        <f t="shared" si="1"/>
        <v>0</v>
      </c>
      <c r="AV11" s="71">
        <f t="shared" si="1"/>
        <v>350</v>
      </c>
      <c r="AW11" s="101" t="e">
        <f>AV11/AU11</f>
        <v>#DIV/0!</v>
      </c>
      <c r="BA11" s="54"/>
    </row>
    <row r="12" spans="1:53" ht="80.25" customHeight="1">
      <c r="B12" s="241" t="s">
        <v>15</v>
      </c>
      <c r="C12" s="242"/>
      <c r="D12" s="243"/>
      <c r="E12" s="84">
        <f t="shared" ref="E12:R12" si="2">E8+E9+E10+E11</f>
        <v>1100</v>
      </c>
      <c r="F12" s="90">
        <f>F8+F9+F10+F11</f>
        <v>530</v>
      </c>
      <c r="G12" s="91">
        <f>F12/E12</f>
        <v>0.48181818181818181</v>
      </c>
      <c r="H12" s="85">
        <f t="shared" si="2"/>
        <v>1100</v>
      </c>
      <c r="I12" s="86">
        <f t="shared" si="2"/>
        <v>265</v>
      </c>
      <c r="J12" s="91">
        <f>I12/H12</f>
        <v>0.24090909090909091</v>
      </c>
      <c r="K12" s="86">
        <f t="shared" si="2"/>
        <v>1100</v>
      </c>
      <c r="L12" s="86">
        <f>L8+L9+L10+L11</f>
        <v>95</v>
      </c>
      <c r="M12" s="91">
        <f>L12/K12</f>
        <v>8.6363636363636365E-2</v>
      </c>
      <c r="N12" s="86">
        <f t="shared" si="2"/>
        <v>1100</v>
      </c>
      <c r="O12" s="86">
        <f t="shared" si="2"/>
        <v>245</v>
      </c>
      <c r="P12" s="91">
        <f>O12/N12</f>
        <v>0.22272727272727272</v>
      </c>
      <c r="Q12" s="86">
        <f t="shared" si="2"/>
        <v>1100</v>
      </c>
      <c r="R12" s="86">
        <f t="shared" si="2"/>
        <v>485</v>
      </c>
      <c r="S12" s="91">
        <f>R12/Q12</f>
        <v>0.44090909090909092</v>
      </c>
      <c r="T12" s="86">
        <f t="shared" ref="T12" si="3">T8+T9+T10</f>
        <v>1100</v>
      </c>
      <c r="U12" s="86">
        <f>U8+U9+U10</f>
        <v>0</v>
      </c>
      <c r="V12" s="91">
        <f>U12/T12</f>
        <v>0</v>
      </c>
      <c r="W12" s="86">
        <f t="shared" ref="W12:AV12" si="4">W8+W9+W10+W11</f>
        <v>6600</v>
      </c>
      <c r="X12" s="86">
        <f>X8+X9+X10+X11</f>
        <v>1620</v>
      </c>
      <c r="Y12" s="96">
        <f>X12/W12</f>
        <v>0.24545454545454545</v>
      </c>
      <c r="Z12" s="86">
        <f t="shared" si="4"/>
        <v>1100</v>
      </c>
      <c r="AA12" s="86">
        <f t="shared" si="4"/>
        <v>0</v>
      </c>
      <c r="AB12" s="91">
        <f>AA12/Z12</f>
        <v>0</v>
      </c>
      <c r="AC12" s="86">
        <f t="shared" si="4"/>
        <v>1100</v>
      </c>
      <c r="AD12" s="86">
        <f t="shared" si="4"/>
        <v>0</v>
      </c>
      <c r="AE12" s="91">
        <f>AD12/AC12</f>
        <v>0</v>
      </c>
      <c r="AF12" s="86">
        <f t="shared" si="4"/>
        <v>1100</v>
      </c>
      <c r="AG12" s="86">
        <f t="shared" si="4"/>
        <v>0</v>
      </c>
      <c r="AH12" s="91">
        <f>AG12/AF12</f>
        <v>0</v>
      </c>
      <c r="AI12" s="86">
        <f t="shared" si="4"/>
        <v>1100</v>
      </c>
      <c r="AJ12" s="86">
        <f t="shared" si="4"/>
        <v>0</v>
      </c>
      <c r="AK12" s="91">
        <f>AJ12/AI12</f>
        <v>0</v>
      </c>
      <c r="AL12" s="86">
        <f t="shared" si="4"/>
        <v>1100</v>
      </c>
      <c r="AM12" s="86">
        <f t="shared" si="4"/>
        <v>0</v>
      </c>
      <c r="AN12" s="91">
        <f>AM12/AL12</f>
        <v>0</v>
      </c>
      <c r="AO12" s="86">
        <f t="shared" si="4"/>
        <v>1100</v>
      </c>
      <c r="AP12" s="86">
        <f t="shared" si="4"/>
        <v>0</v>
      </c>
      <c r="AQ12" s="91">
        <f>AP12/AO12</f>
        <v>0</v>
      </c>
      <c r="AR12" s="86">
        <f t="shared" si="4"/>
        <v>6600</v>
      </c>
      <c r="AS12" s="86">
        <f>AS8+AS9+AS10+AS11</f>
        <v>0</v>
      </c>
      <c r="AT12" s="96">
        <f>AS12/AR12</f>
        <v>0</v>
      </c>
      <c r="AU12" s="86">
        <f t="shared" si="4"/>
        <v>13200</v>
      </c>
      <c r="AV12" s="86">
        <f t="shared" si="4"/>
        <v>1620</v>
      </c>
      <c r="AW12" s="101">
        <f>AV12/AU12</f>
        <v>0.12272727272727273</v>
      </c>
      <c r="AX12" s="191"/>
      <c r="AY12" s="191"/>
      <c r="BA12" s="54"/>
    </row>
    <row r="13" spans="1:53" ht="80.25" customHeight="1" outlineLevel="1">
      <c r="B13" s="244" t="s">
        <v>8</v>
      </c>
      <c r="C13" s="245"/>
      <c r="D13" s="246"/>
      <c r="E13" s="106" t="s">
        <v>5</v>
      </c>
      <c r="F13" s="107" t="s">
        <v>4</v>
      </c>
      <c r="G13" s="108" t="s">
        <v>56</v>
      </c>
      <c r="H13" s="109" t="s">
        <v>5</v>
      </c>
      <c r="I13" s="110" t="s">
        <v>4</v>
      </c>
      <c r="J13" s="108" t="s">
        <v>56</v>
      </c>
      <c r="K13" s="110" t="s">
        <v>5</v>
      </c>
      <c r="L13" s="110" t="s">
        <v>4</v>
      </c>
      <c r="M13" s="108" t="s">
        <v>56</v>
      </c>
      <c r="N13" s="110" t="s">
        <v>5</v>
      </c>
      <c r="O13" s="110" t="s">
        <v>4</v>
      </c>
      <c r="P13" s="108" t="s">
        <v>56</v>
      </c>
      <c r="Q13" s="110" t="s">
        <v>5</v>
      </c>
      <c r="R13" s="110" t="s">
        <v>4</v>
      </c>
      <c r="S13" s="108" t="s">
        <v>56</v>
      </c>
      <c r="T13" s="110" t="s">
        <v>5</v>
      </c>
      <c r="U13" s="110" t="s">
        <v>4</v>
      </c>
      <c r="V13" s="108" t="s">
        <v>56</v>
      </c>
      <c r="W13" s="110" t="s">
        <v>5</v>
      </c>
      <c r="X13" s="110" t="s">
        <v>4</v>
      </c>
      <c r="Y13" s="108" t="s">
        <v>56</v>
      </c>
      <c r="Z13" s="110" t="s">
        <v>5</v>
      </c>
      <c r="AA13" s="110" t="s">
        <v>4</v>
      </c>
      <c r="AB13" s="108" t="s">
        <v>56</v>
      </c>
      <c r="AC13" s="110" t="s">
        <v>5</v>
      </c>
      <c r="AD13" s="110" t="s">
        <v>4</v>
      </c>
      <c r="AE13" s="108" t="s">
        <v>56</v>
      </c>
      <c r="AF13" s="110" t="s">
        <v>5</v>
      </c>
      <c r="AG13" s="110" t="s">
        <v>4</v>
      </c>
      <c r="AH13" s="108" t="s">
        <v>56</v>
      </c>
      <c r="AI13" s="110" t="s">
        <v>5</v>
      </c>
      <c r="AJ13" s="110" t="s">
        <v>4</v>
      </c>
      <c r="AK13" s="108" t="s">
        <v>56</v>
      </c>
      <c r="AL13" s="110" t="s">
        <v>5</v>
      </c>
      <c r="AM13" s="110" t="s">
        <v>4</v>
      </c>
      <c r="AN13" s="108" t="s">
        <v>56</v>
      </c>
      <c r="AO13" s="110" t="s">
        <v>5</v>
      </c>
      <c r="AP13" s="110" t="s">
        <v>4</v>
      </c>
      <c r="AQ13" s="108" t="s">
        <v>56</v>
      </c>
      <c r="AR13" s="110" t="s">
        <v>5</v>
      </c>
      <c r="AS13" s="110" t="s">
        <v>4</v>
      </c>
      <c r="AT13" s="108" t="s">
        <v>56</v>
      </c>
      <c r="AU13" s="110" t="s">
        <v>5</v>
      </c>
      <c r="AV13" s="110" t="s">
        <v>4</v>
      </c>
      <c r="AW13" s="108" t="s">
        <v>56</v>
      </c>
      <c r="BA13" s="54"/>
    </row>
    <row r="14" spans="1:53" ht="80.25" customHeight="1">
      <c r="B14" s="207" t="s">
        <v>7</v>
      </c>
      <c r="C14" s="208"/>
      <c r="D14" s="209"/>
      <c r="E14" s="79">
        <v>0</v>
      </c>
      <c r="F14" s="70">
        <v>87.9</v>
      </c>
      <c r="G14" s="96" t="e">
        <f>F14/E14</f>
        <v>#DIV/0!</v>
      </c>
      <c r="H14" s="75">
        <v>400</v>
      </c>
      <c r="I14" s="70">
        <v>149.4</v>
      </c>
      <c r="J14" s="96">
        <f>I14/H14</f>
        <v>0.3735</v>
      </c>
      <c r="K14" s="70">
        <v>0</v>
      </c>
      <c r="L14" s="70">
        <v>67.2</v>
      </c>
      <c r="M14" s="96" t="e">
        <f>L14/K14</f>
        <v>#DIV/0!</v>
      </c>
      <c r="N14" s="70">
        <v>400</v>
      </c>
      <c r="O14" s="70">
        <v>124.2</v>
      </c>
      <c r="P14" s="96">
        <f>O14/N14</f>
        <v>0.3105</v>
      </c>
      <c r="Q14" s="70">
        <v>0</v>
      </c>
      <c r="R14" s="70">
        <v>160</v>
      </c>
      <c r="S14" s="96" t="e">
        <f>R14/Q14</f>
        <v>#DIV/0!</v>
      </c>
      <c r="T14" s="70">
        <v>400</v>
      </c>
      <c r="U14" s="70"/>
      <c r="V14" s="96">
        <f>U14/T14</f>
        <v>0</v>
      </c>
      <c r="W14" s="70">
        <f t="shared" ref="W14:X16" si="5">E14+H14+K14+N14+Q14+T14</f>
        <v>1200</v>
      </c>
      <c r="X14" s="70">
        <f t="shared" si="5"/>
        <v>588.70000000000005</v>
      </c>
      <c r="Y14" s="96">
        <f>X14/W14</f>
        <v>0.49058333333333337</v>
      </c>
      <c r="Z14" s="70">
        <v>0</v>
      </c>
      <c r="AA14" s="70"/>
      <c r="AB14" s="96" t="e">
        <f>AA14/Z14</f>
        <v>#DIV/0!</v>
      </c>
      <c r="AC14" s="70">
        <v>400</v>
      </c>
      <c r="AD14" s="70"/>
      <c r="AE14" s="96">
        <f>AD14/AC14</f>
        <v>0</v>
      </c>
      <c r="AF14" s="70">
        <v>0</v>
      </c>
      <c r="AG14" s="70"/>
      <c r="AH14" s="96" t="e">
        <f>AG14/AF14</f>
        <v>#DIV/0!</v>
      </c>
      <c r="AI14" s="70">
        <v>400</v>
      </c>
      <c r="AJ14" s="70"/>
      <c r="AK14" s="96">
        <f>AJ14/AI14</f>
        <v>0</v>
      </c>
      <c r="AL14" s="70">
        <v>0</v>
      </c>
      <c r="AM14" s="70"/>
      <c r="AN14" s="96" t="e">
        <f>AM14/AL14</f>
        <v>#DIV/0!</v>
      </c>
      <c r="AO14" s="70">
        <v>400</v>
      </c>
      <c r="AP14" s="70"/>
      <c r="AQ14" s="96">
        <f>AP14/AO14</f>
        <v>0</v>
      </c>
      <c r="AR14" s="70">
        <f t="shared" ref="AR14:AS16" si="6">Z14+AC14+AF14+AI14+AL14+AO14</f>
        <v>1200</v>
      </c>
      <c r="AS14" s="70">
        <f t="shared" si="6"/>
        <v>0</v>
      </c>
      <c r="AT14" s="96">
        <f>AS14/AR14</f>
        <v>0</v>
      </c>
      <c r="AU14" s="70">
        <f t="shared" ref="AU14:AV16" si="7">W14+AR14</f>
        <v>2400</v>
      </c>
      <c r="AV14" s="70">
        <f t="shared" si="7"/>
        <v>588.70000000000005</v>
      </c>
      <c r="AW14" s="101">
        <f>AV14/AU14</f>
        <v>0.24529166666666669</v>
      </c>
      <c r="AX14" s="191"/>
      <c r="BA14" s="54"/>
    </row>
    <row r="15" spans="1:53" ht="80.25" customHeight="1">
      <c r="B15" s="201" t="s">
        <v>1</v>
      </c>
      <c r="C15" s="202"/>
      <c r="D15" s="203"/>
      <c r="E15" s="76">
        <v>0</v>
      </c>
      <c r="F15" s="67"/>
      <c r="G15" s="96" t="e">
        <f>F15/E15</f>
        <v>#DIV/0!</v>
      </c>
      <c r="H15" s="72">
        <v>0</v>
      </c>
      <c r="I15" s="67">
        <v>0</v>
      </c>
      <c r="J15" s="96" t="e">
        <f>I15/H15</f>
        <v>#DIV/0!</v>
      </c>
      <c r="K15" s="67">
        <v>0</v>
      </c>
      <c r="L15" s="67"/>
      <c r="M15" s="96" t="e">
        <f>L15/K15</f>
        <v>#DIV/0!</v>
      </c>
      <c r="N15" s="67">
        <v>0</v>
      </c>
      <c r="O15" s="67"/>
      <c r="P15" s="96" t="e">
        <f>O15/N15</f>
        <v>#DIV/0!</v>
      </c>
      <c r="Q15" s="67">
        <v>0</v>
      </c>
      <c r="R15" s="67">
        <v>0</v>
      </c>
      <c r="S15" s="96" t="e">
        <f>R15/Q15</f>
        <v>#DIV/0!</v>
      </c>
      <c r="T15" s="67">
        <v>0</v>
      </c>
      <c r="U15" s="67"/>
      <c r="V15" s="96" t="e">
        <f>U15/T15</f>
        <v>#DIV/0!</v>
      </c>
      <c r="W15" s="67">
        <f t="shared" si="5"/>
        <v>0</v>
      </c>
      <c r="X15" s="67">
        <f t="shared" si="5"/>
        <v>0</v>
      </c>
      <c r="Y15" s="96" t="e">
        <f>X15/W15</f>
        <v>#DIV/0!</v>
      </c>
      <c r="Z15" s="67">
        <v>0</v>
      </c>
      <c r="AA15" s="67"/>
      <c r="AB15" s="96" t="e">
        <f>AA15/Z15</f>
        <v>#DIV/0!</v>
      </c>
      <c r="AC15" s="67">
        <v>0</v>
      </c>
      <c r="AD15" s="67"/>
      <c r="AE15" s="96" t="e">
        <f>AD15/AC15</f>
        <v>#DIV/0!</v>
      </c>
      <c r="AF15" s="67">
        <v>0</v>
      </c>
      <c r="AG15" s="67"/>
      <c r="AH15" s="96" t="e">
        <f>AG15/AF15</f>
        <v>#DIV/0!</v>
      </c>
      <c r="AI15" s="67">
        <v>0</v>
      </c>
      <c r="AJ15" s="67"/>
      <c r="AK15" s="96" t="e">
        <f>AJ15/AI15</f>
        <v>#DIV/0!</v>
      </c>
      <c r="AL15" s="67">
        <v>0</v>
      </c>
      <c r="AM15" s="67"/>
      <c r="AN15" s="96" t="e">
        <f>AM15/AL15</f>
        <v>#DIV/0!</v>
      </c>
      <c r="AO15" s="67">
        <v>0</v>
      </c>
      <c r="AP15" s="67"/>
      <c r="AQ15" s="96" t="e">
        <f>AP15/AO15</f>
        <v>#DIV/0!</v>
      </c>
      <c r="AR15" s="67">
        <f t="shared" si="6"/>
        <v>0</v>
      </c>
      <c r="AS15" s="67">
        <f t="shared" si="6"/>
        <v>0</v>
      </c>
      <c r="AT15" s="96" t="e">
        <f>AS15/AR15</f>
        <v>#DIV/0!</v>
      </c>
      <c r="AU15" s="67">
        <f t="shared" si="7"/>
        <v>0</v>
      </c>
      <c r="AV15" s="67">
        <f t="shared" si="7"/>
        <v>0</v>
      </c>
      <c r="AW15" s="101" t="e">
        <f>AV15/AU15</f>
        <v>#DIV/0!</v>
      </c>
      <c r="AX15" s="191"/>
      <c r="BA15" s="54"/>
    </row>
    <row r="16" spans="1:53" ht="80.25" customHeight="1">
      <c r="B16" s="201" t="s">
        <v>16</v>
      </c>
      <c r="C16" s="202"/>
      <c r="D16" s="203"/>
      <c r="E16" s="76">
        <v>0</v>
      </c>
      <c r="F16" s="67"/>
      <c r="G16" s="96" t="e">
        <f>F16/E16</f>
        <v>#DIV/0!</v>
      </c>
      <c r="H16" s="72">
        <v>0</v>
      </c>
      <c r="I16" s="67">
        <v>0</v>
      </c>
      <c r="J16" s="96" t="e">
        <f>I16/H16</f>
        <v>#DIV/0!</v>
      </c>
      <c r="K16" s="67">
        <v>0</v>
      </c>
      <c r="L16" s="67"/>
      <c r="M16" s="96" t="e">
        <f>L16/K16</f>
        <v>#DIV/0!</v>
      </c>
      <c r="N16" s="67">
        <v>0</v>
      </c>
      <c r="O16" s="67"/>
      <c r="P16" s="96" t="e">
        <f>O16/N16</f>
        <v>#DIV/0!</v>
      </c>
      <c r="Q16" s="67">
        <v>0</v>
      </c>
      <c r="R16" s="67">
        <v>0</v>
      </c>
      <c r="S16" s="96" t="e">
        <f>R16/Q16</f>
        <v>#DIV/0!</v>
      </c>
      <c r="T16" s="67">
        <v>0</v>
      </c>
      <c r="U16" s="67"/>
      <c r="V16" s="96" t="e">
        <f>U16/T16</f>
        <v>#DIV/0!</v>
      </c>
      <c r="W16" s="67">
        <f t="shared" si="5"/>
        <v>0</v>
      </c>
      <c r="X16" s="67">
        <f t="shared" si="5"/>
        <v>0</v>
      </c>
      <c r="Y16" s="96" t="e">
        <f>X16/W16</f>
        <v>#DIV/0!</v>
      </c>
      <c r="Z16" s="67">
        <v>0</v>
      </c>
      <c r="AA16" s="67"/>
      <c r="AB16" s="96" t="e">
        <f>AA16/Z16</f>
        <v>#DIV/0!</v>
      </c>
      <c r="AC16" s="67">
        <v>0</v>
      </c>
      <c r="AD16" s="67"/>
      <c r="AE16" s="96" t="e">
        <f>AD16/AC16</f>
        <v>#DIV/0!</v>
      </c>
      <c r="AF16" s="67">
        <v>0</v>
      </c>
      <c r="AG16" s="67"/>
      <c r="AH16" s="96" t="e">
        <f>AG16/AF16</f>
        <v>#DIV/0!</v>
      </c>
      <c r="AI16" s="67">
        <v>0</v>
      </c>
      <c r="AJ16" s="67"/>
      <c r="AK16" s="96" t="e">
        <f>AJ16/AI16</f>
        <v>#DIV/0!</v>
      </c>
      <c r="AL16" s="67">
        <v>0</v>
      </c>
      <c r="AM16" s="67"/>
      <c r="AN16" s="96" t="e">
        <f>AM16/AL16</f>
        <v>#DIV/0!</v>
      </c>
      <c r="AO16" s="67">
        <v>0</v>
      </c>
      <c r="AP16" s="67"/>
      <c r="AQ16" s="96" t="e">
        <f>AP16/AO16</f>
        <v>#DIV/0!</v>
      </c>
      <c r="AR16" s="67">
        <f t="shared" si="6"/>
        <v>0</v>
      </c>
      <c r="AS16" s="67">
        <f t="shared" si="6"/>
        <v>0</v>
      </c>
      <c r="AT16" s="96" t="e">
        <f>AS16/AR16</f>
        <v>#DIV/0!</v>
      </c>
      <c r="AU16" s="67">
        <f t="shared" si="7"/>
        <v>0</v>
      </c>
      <c r="AV16" s="67">
        <f t="shared" si="7"/>
        <v>0</v>
      </c>
      <c r="AW16" s="101" t="e">
        <f>AV16/AU16</f>
        <v>#DIV/0!</v>
      </c>
      <c r="AX16" s="191"/>
      <c r="BA16" s="54"/>
    </row>
    <row r="17" spans="1:59" ht="80.25" customHeight="1">
      <c r="B17" s="250" t="s">
        <v>15</v>
      </c>
      <c r="C17" s="251"/>
      <c r="D17" s="252"/>
      <c r="E17" s="84">
        <f t="shared" ref="E17:AV17" si="8">SUM(E14:E16)</f>
        <v>0</v>
      </c>
      <c r="F17" s="86">
        <f t="shared" si="8"/>
        <v>87.9</v>
      </c>
      <c r="G17" s="96" t="e">
        <f>F17/E17</f>
        <v>#DIV/0!</v>
      </c>
      <c r="H17" s="85">
        <f t="shared" si="8"/>
        <v>400</v>
      </c>
      <c r="I17" s="86">
        <f t="shared" si="8"/>
        <v>149.4</v>
      </c>
      <c r="J17" s="96">
        <f>I17/H17</f>
        <v>0.3735</v>
      </c>
      <c r="K17" s="86">
        <f t="shared" si="8"/>
        <v>0</v>
      </c>
      <c r="L17" s="86">
        <f t="shared" si="8"/>
        <v>67.2</v>
      </c>
      <c r="M17" s="96" t="e">
        <f>L17/K17</f>
        <v>#DIV/0!</v>
      </c>
      <c r="N17" s="86">
        <f t="shared" si="8"/>
        <v>400</v>
      </c>
      <c r="O17" s="86">
        <f t="shared" si="8"/>
        <v>124.2</v>
      </c>
      <c r="P17" s="96">
        <f>O17/N17</f>
        <v>0.3105</v>
      </c>
      <c r="Q17" s="86">
        <f t="shared" si="8"/>
        <v>0</v>
      </c>
      <c r="R17" s="86">
        <f t="shared" si="8"/>
        <v>160</v>
      </c>
      <c r="S17" s="96" t="e">
        <f>R17/Q17</f>
        <v>#DIV/0!</v>
      </c>
      <c r="T17" s="86">
        <f t="shared" si="8"/>
        <v>400</v>
      </c>
      <c r="U17" s="86">
        <f t="shared" si="8"/>
        <v>0</v>
      </c>
      <c r="V17" s="96">
        <f>U17/T17</f>
        <v>0</v>
      </c>
      <c r="W17" s="86">
        <f t="shared" si="8"/>
        <v>1200</v>
      </c>
      <c r="X17" s="86">
        <f t="shared" si="8"/>
        <v>588.70000000000005</v>
      </c>
      <c r="Y17" s="96">
        <f>X17/W17</f>
        <v>0.49058333333333337</v>
      </c>
      <c r="Z17" s="86">
        <f t="shared" si="8"/>
        <v>0</v>
      </c>
      <c r="AA17" s="86">
        <f t="shared" si="8"/>
        <v>0</v>
      </c>
      <c r="AB17" s="96" t="e">
        <f>AA17/Z17</f>
        <v>#DIV/0!</v>
      </c>
      <c r="AC17" s="86">
        <f t="shared" si="8"/>
        <v>400</v>
      </c>
      <c r="AD17" s="86">
        <f t="shared" si="8"/>
        <v>0</v>
      </c>
      <c r="AE17" s="96">
        <f>AD17/AC17</f>
        <v>0</v>
      </c>
      <c r="AF17" s="86">
        <f t="shared" si="8"/>
        <v>0</v>
      </c>
      <c r="AG17" s="86">
        <f t="shared" si="8"/>
        <v>0</v>
      </c>
      <c r="AH17" s="96" t="e">
        <f>AG17/AF17</f>
        <v>#DIV/0!</v>
      </c>
      <c r="AI17" s="86">
        <f t="shared" si="8"/>
        <v>400</v>
      </c>
      <c r="AJ17" s="86">
        <f t="shared" si="8"/>
        <v>0</v>
      </c>
      <c r="AK17" s="96">
        <f>AJ17/AI17</f>
        <v>0</v>
      </c>
      <c r="AL17" s="86">
        <f t="shared" si="8"/>
        <v>0</v>
      </c>
      <c r="AM17" s="86">
        <f t="shared" si="8"/>
        <v>0</v>
      </c>
      <c r="AN17" s="96" t="e">
        <f>AM17/AL17</f>
        <v>#DIV/0!</v>
      </c>
      <c r="AO17" s="86">
        <f t="shared" si="8"/>
        <v>400</v>
      </c>
      <c r="AP17" s="86">
        <f t="shared" si="8"/>
        <v>0</v>
      </c>
      <c r="AQ17" s="96">
        <f>AP17/AO17</f>
        <v>0</v>
      </c>
      <c r="AR17" s="86">
        <f t="shared" si="8"/>
        <v>1200</v>
      </c>
      <c r="AS17" s="86">
        <f t="shared" si="8"/>
        <v>0</v>
      </c>
      <c r="AT17" s="96">
        <f>AS17/AR17</f>
        <v>0</v>
      </c>
      <c r="AU17" s="86">
        <f t="shared" si="8"/>
        <v>2400</v>
      </c>
      <c r="AV17" s="86">
        <f t="shared" si="8"/>
        <v>588.70000000000005</v>
      </c>
      <c r="AW17" s="101">
        <f>AV17/AU17</f>
        <v>0.24529166666666669</v>
      </c>
      <c r="AX17" s="65"/>
      <c r="AY17" s="65"/>
      <c r="BA17" s="54"/>
    </row>
    <row r="18" spans="1:59" ht="80.25" customHeight="1">
      <c r="B18" s="224" t="s">
        <v>17</v>
      </c>
      <c r="C18" s="225"/>
      <c r="D18" s="226"/>
      <c r="E18" s="112" t="s">
        <v>5</v>
      </c>
      <c r="F18" s="113" t="s">
        <v>4</v>
      </c>
      <c r="G18" s="114" t="s">
        <v>56</v>
      </c>
      <c r="H18" s="115" t="s">
        <v>5</v>
      </c>
      <c r="I18" s="116" t="s">
        <v>4</v>
      </c>
      <c r="J18" s="114" t="s">
        <v>56</v>
      </c>
      <c r="K18" s="116" t="s">
        <v>5</v>
      </c>
      <c r="L18" s="116" t="s">
        <v>4</v>
      </c>
      <c r="M18" s="114" t="s">
        <v>56</v>
      </c>
      <c r="N18" s="116" t="s">
        <v>5</v>
      </c>
      <c r="O18" s="116" t="s">
        <v>4</v>
      </c>
      <c r="P18" s="114" t="s">
        <v>56</v>
      </c>
      <c r="Q18" s="116" t="s">
        <v>5</v>
      </c>
      <c r="R18" s="116" t="s">
        <v>4</v>
      </c>
      <c r="S18" s="114" t="s">
        <v>56</v>
      </c>
      <c r="T18" s="116" t="s">
        <v>5</v>
      </c>
      <c r="U18" s="116" t="s">
        <v>4</v>
      </c>
      <c r="V18" s="114" t="s">
        <v>56</v>
      </c>
      <c r="W18" s="116" t="s">
        <v>5</v>
      </c>
      <c r="X18" s="116" t="s">
        <v>4</v>
      </c>
      <c r="Y18" s="114" t="s">
        <v>56</v>
      </c>
      <c r="Z18" s="116" t="s">
        <v>5</v>
      </c>
      <c r="AA18" s="116" t="s">
        <v>4</v>
      </c>
      <c r="AB18" s="114" t="s">
        <v>56</v>
      </c>
      <c r="AC18" s="116" t="s">
        <v>5</v>
      </c>
      <c r="AD18" s="116" t="s">
        <v>4</v>
      </c>
      <c r="AE18" s="114" t="s">
        <v>56</v>
      </c>
      <c r="AF18" s="116" t="s">
        <v>5</v>
      </c>
      <c r="AG18" s="116" t="s">
        <v>4</v>
      </c>
      <c r="AH18" s="114" t="s">
        <v>56</v>
      </c>
      <c r="AI18" s="116" t="s">
        <v>5</v>
      </c>
      <c r="AJ18" s="116" t="s">
        <v>4</v>
      </c>
      <c r="AK18" s="114" t="s">
        <v>56</v>
      </c>
      <c r="AL18" s="116" t="s">
        <v>5</v>
      </c>
      <c r="AM18" s="116" t="s">
        <v>4</v>
      </c>
      <c r="AN18" s="114" t="s">
        <v>56</v>
      </c>
      <c r="AO18" s="116" t="s">
        <v>5</v>
      </c>
      <c r="AP18" s="116" t="s">
        <v>4</v>
      </c>
      <c r="AQ18" s="114" t="s">
        <v>56</v>
      </c>
      <c r="AR18" s="116" t="s">
        <v>5</v>
      </c>
      <c r="AS18" s="116" t="s">
        <v>4</v>
      </c>
      <c r="AT18" s="114" t="s">
        <v>56</v>
      </c>
      <c r="AU18" s="116" t="s">
        <v>5</v>
      </c>
      <c r="AV18" s="116" t="s">
        <v>4</v>
      </c>
      <c r="AW18" s="114" t="s">
        <v>56</v>
      </c>
      <c r="AX18" s="65"/>
      <c r="AY18" s="65"/>
      <c r="BA18" s="54"/>
    </row>
    <row r="19" spans="1:59" ht="80.25" customHeight="1">
      <c r="B19" s="227" t="s">
        <v>40</v>
      </c>
      <c r="C19" s="228"/>
      <c r="D19" s="229"/>
      <c r="E19" s="76"/>
      <c r="F19" s="67"/>
      <c r="G19" s="96" t="e">
        <f>F19/E19</f>
        <v>#DIV/0!</v>
      </c>
      <c r="H19" s="72"/>
      <c r="I19" s="67">
        <v>400</v>
      </c>
      <c r="J19" s="96" t="e">
        <f>I19/H19</f>
        <v>#DIV/0!</v>
      </c>
      <c r="K19" s="67"/>
      <c r="L19" s="67">
        <v>800</v>
      </c>
      <c r="M19" s="96" t="e">
        <f>L19/K19</f>
        <v>#DIV/0!</v>
      </c>
      <c r="N19" s="67"/>
      <c r="O19" s="67"/>
      <c r="P19" s="96" t="e">
        <f>O19/N19</f>
        <v>#DIV/0!</v>
      </c>
      <c r="Q19" s="67"/>
      <c r="R19" s="67">
        <v>0</v>
      </c>
      <c r="S19" s="96" t="e">
        <f>R19/Q19</f>
        <v>#DIV/0!</v>
      </c>
      <c r="T19" s="67"/>
      <c r="U19" s="67"/>
      <c r="V19" s="96" t="e">
        <f>U19/T19</f>
        <v>#DIV/0!</v>
      </c>
      <c r="W19" s="67">
        <f t="shared" ref="W19:X22" si="9">E19+H19+K19+N19+Q19+T19</f>
        <v>0</v>
      </c>
      <c r="X19" s="67">
        <f t="shared" si="9"/>
        <v>1200</v>
      </c>
      <c r="Y19" s="96" t="e">
        <f>X19/W19</f>
        <v>#DIV/0!</v>
      </c>
      <c r="Z19" s="67"/>
      <c r="AA19" s="67"/>
      <c r="AB19" s="96" t="e">
        <f>AA19/Z19</f>
        <v>#DIV/0!</v>
      </c>
      <c r="AC19" s="67"/>
      <c r="AD19" s="67"/>
      <c r="AE19" s="96" t="e">
        <f>AD19/AC19</f>
        <v>#DIV/0!</v>
      </c>
      <c r="AF19" s="67"/>
      <c r="AG19" s="67"/>
      <c r="AH19" s="96" t="e">
        <f>AG19/AF19</f>
        <v>#DIV/0!</v>
      </c>
      <c r="AI19" s="67"/>
      <c r="AJ19" s="67"/>
      <c r="AK19" s="96" t="e">
        <f>AJ19/AI19</f>
        <v>#DIV/0!</v>
      </c>
      <c r="AL19" s="67"/>
      <c r="AM19" s="67"/>
      <c r="AN19" s="96" t="e">
        <f>AM19/AL19</f>
        <v>#DIV/0!</v>
      </c>
      <c r="AO19" s="67"/>
      <c r="AP19" s="67"/>
      <c r="AQ19" s="96" t="e">
        <f>AP19/AO19</f>
        <v>#DIV/0!</v>
      </c>
      <c r="AR19" s="67">
        <f t="shared" ref="AR19:AS22" si="10">Z19+AC19+AF19+AI19+AL19+AO19</f>
        <v>0</v>
      </c>
      <c r="AS19" s="67">
        <f t="shared" si="10"/>
        <v>0</v>
      </c>
      <c r="AT19" s="96" t="e">
        <f>AS19/AR19</f>
        <v>#DIV/0!</v>
      </c>
      <c r="AU19" s="67">
        <f t="shared" ref="AU19:AV22" si="11">W19+AR19</f>
        <v>0</v>
      </c>
      <c r="AV19" s="67">
        <f t="shared" si="11"/>
        <v>1200</v>
      </c>
      <c r="AW19" s="101" t="e">
        <f>AV19/AU19</f>
        <v>#DIV/0!</v>
      </c>
      <c r="AX19" s="65"/>
      <c r="AY19" s="65"/>
      <c r="BA19" s="54"/>
    </row>
    <row r="20" spans="1:59" ht="80.25" customHeight="1">
      <c r="B20" s="207" t="s">
        <v>41</v>
      </c>
      <c r="C20" s="208"/>
      <c r="D20" s="209"/>
      <c r="E20" s="79">
        <v>3000</v>
      </c>
      <c r="F20" s="67">
        <v>800</v>
      </c>
      <c r="G20" s="96">
        <f>F20/E20</f>
        <v>0.26666666666666666</v>
      </c>
      <c r="H20" s="75">
        <v>3000</v>
      </c>
      <c r="I20" s="67">
        <v>2400</v>
      </c>
      <c r="J20" s="96">
        <f>I20/H20</f>
        <v>0.8</v>
      </c>
      <c r="K20" s="70">
        <v>3000</v>
      </c>
      <c r="L20" s="67">
        <v>2400</v>
      </c>
      <c r="M20" s="96">
        <f>L20/K20</f>
        <v>0.8</v>
      </c>
      <c r="N20" s="70">
        <v>3000</v>
      </c>
      <c r="O20" s="67">
        <v>1000</v>
      </c>
      <c r="P20" s="96">
        <f>O20/N20</f>
        <v>0.33333333333333331</v>
      </c>
      <c r="Q20" s="70">
        <v>3000</v>
      </c>
      <c r="R20" s="67">
        <v>600</v>
      </c>
      <c r="S20" s="96">
        <f>R20/Q20</f>
        <v>0.2</v>
      </c>
      <c r="T20" s="70">
        <v>3000</v>
      </c>
      <c r="U20" s="67"/>
      <c r="V20" s="96">
        <f>U20/T20</f>
        <v>0</v>
      </c>
      <c r="W20" s="67">
        <f t="shared" si="9"/>
        <v>18000</v>
      </c>
      <c r="X20" s="67">
        <f t="shared" si="9"/>
        <v>7200</v>
      </c>
      <c r="Y20" s="96">
        <f>X20/W20</f>
        <v>0.4</v>
      </c>
      <c r="Z20" s="70">
        <v>3000</v>
      </c>
      <c r="AA20" s="67"/>
      <c r="AB20" s="96">
        <f>AA20/Z20</f>
        <v>0</v>
      </c>
      <c r="AC20" s="70">
        <v>3000</v>
      </c>
      <c r="AD20" s="67"/>
      <c r="AE20" s="96">
        <f>AD20/AC20</f>
        <v>0</v>
      </c>
      <c r="AF20" s="70">
        <v>3000</v>
      </c>
      <c r="AG20" s="67"/>
      <c r="AH20" s="96">
        <f>AG20/AF20</f>
        <v>0</v>
      </c>
      <c r="AI20" s="70">
        <v>3000</v>
      </c>
      <c r="AJ20" s="67"/>
      <c r="AK20" s="96">
        <f>AJ20/AI20</f>
        <v>0</v>
      </c>
      <c r="AL20" s="70">
        <v>3000</v>
      </c>
      <c r="AM20" s="67"/>
      <c r="AN20" s="96">
        <f>AM20/AL20</f>
        <v>0</v>
      </c>
      <c r="AO20" s="70">
        <v>3000</v>
      </c>
      <c r="AP20" s="67"/>
      <c r="AQ20" s="96">
        <f>AP20/AO20</f>
        <v>0</v>
      </c>
      <c r="AR20" s="67">
        <f t="shared" si="10"/>
        <v>18000</v>
      </c>
      <c r="AS20" s="67">
        <f t="shared" si="10"/>
        <v>0</v>
      </c>
      <c r="AT20" s="96">
        <f>AS20/AR20</f>
        <v>0</v>
      </c>
      <c r="AU20" s="67">
        <f t="shared" si="11"/>
        <v>36000</v>
      </c>
      <c r="AV20" s="67">
        <f t="shared" si="11"/>
        <v>7200</v>
      </c>
      <c r="AW20" s="101">
        <f>AV20/AU20</f>
        <v>0.2</v>
      </c>
      <c r="AX20" s="65"/>
      <c r="AY20" s="65"/>
      <c r="BA20" s="54"/>
    </row>
    <row r="21" spans="1:59" ht="80.25" customHeight="1">
      <c r="B21" s="201" t="s">
        <v>38</v>
      </c>
      <c r="C21" s="202"/>
      <c r="D21" s="203"/>
      <c r="E21" s="76"/>
      <c r="F21" s="67">
        <v>720</v>
      </c>
      <c r="G21" s="96" t="e">
        <f>F21/E21</f>
        <v>#DIV/0!</v>
      </c>
      <c r="H21" s="72"/>
      <c r="I21" s="67">
        <v>390</v>
      </c>
      <c r="J21" s="96" t="e">
        <f>I21/H21</f>
        <v>#DIV/0!</v>
      </c>
      <c r="K21" s="67"/>
      <c r="L21" s="67">
        <v>450</v>
      </c>
      <c r="M21" s="96" t="e">
        <f>L21/K21</f>
        <v>#DIV/0!</v>
      </c>
      <c r="N21" s="67"/>
      <c r="O21" s="67">
        <v>210</v>
      </c>
      <c r="P21" s="96" t="e">
        <f>O21/N21</f>
        <v>#DIV/0!</v>
      </c>
      <c r="Q21" s="67"/>
      <c r="R21" s="67">
        <v>660</v>
      </c>
      <c r="S21" s="96" t="e">
        <f>R21/Q21</f>
        <v>#DIV/0!</v>
      </c>
      <c r="T21" s="67"/>
      <c r="U21" s="67"/>
      <c r="V21" s="96" t="e">
        <f>U21/T21</f>
        <v>#DIV/0!</v>
      </c>
      <c r="W21" s="67">
        <f t="shared" si="9"/>
        <v>0</v>
      </c>
      <c r="X21" s="67">
        <f t="shared" si="9"/>
        <v>2430</v>
      </c>
      <c r="Y21" s="96" t="e">
        <f>X21/W21</f>
        <v>#DIV/0!</v>
      </c>
      <c r="Z21" s="67"/>
      <c r="AA21" s="67"/>
      <c r="AB21" s="96" t="e">
        <f>AA21/Z21</f>
        <v>#DIV/0!</v>
      </c>
      <c r="AC21" s="67"/>
      <c r="AD21" s="67"/>
      <c r="AE21" s="96" t="e">
        <f>AD21/AC21</f>
        <v>#DIV/0!</v>
      </c>
      <c r="AF21" s="67"/>
      <c r="AG21" s="67"/>
      <c r="AH21" s="96" t="e">
        <f>AG21/AF21</f>
        <v>#DIV/0!</v>
      </c>
      <c r="AI21" s="67"/>
      <c r="AJ21" s="67"/>
      <c r="AK21" s="96" t="e">
        <f>AJ21/AI21</f>
        <v>#DIV/0!</v>
      </c>
      <c r="AL21" s="67"/>
      <c r="AM21" s="67"/>
      <c r="AN21" s="96" t="e">
        <f>AM21/AL21</f>
        <v>#DIV/0!</v>
      </c>
      <c r="AO21" s="67"/>
      <c r="AP21" s="67"/>
      <c r="AQ21" s="96" t="e">
        <f>AP21/AO21</f>
        <v>#DIV/0!</v>
      </c>
      <c r="AR21" s="67">
        <f t="shared" si="10"/>
        <v>0</v>
      </c>
      <c r="AS21" s="67">
        <f t="shared" si="10"/>
        <v>0</v>
      </c>
      <c r="AT21" s="96" t="e">
        <f>AS21/AR21</f>
        <v>#DIV/0!</v>
      </c>
      <c r="AU21" s="67">
        <f t="shared" si="11"/>
        <v>0</v>
      </c>
      <c r="AV21" s="67">
        <f t="shared" si="11"/>
        <v>2430</v>
      </c>
      <c r="AW21" s="101" t="e">
        <f>AV21/AU21</f>
        <v>#DIV/0!</v>
      </c>
      <c r="AX21" s="65"/>
      <c r="AY21" s="65"/>
      <c r="BA21" s="54"/>
    </row>
    <row r="22" spans="1:59" ht="80.25" customHeight="1">
      <c r="B22" s="230" t="s">
        <v>37</v>
      </c>
      <c r="C22" s="231"/>
      <c r="D22" s="232"/>
      <c r="E22" s="76">
        <v>1500</v>
      </c>
      <c r="F22" s="67">
        <v>1550</v>
      </c>
      <c r="G22" s="96">
        <f>F22/E22</f>
        <v>1.0333333333333334</v>
      </c>
      <c r="H22" s="72">
        <v>1500</v>
      </c>
      <c r="I22" s="67">
        <v>1630</v>
      </c>
      <c r="J22" s="96">
        <f>I22/H22</f>
        <v>1.0866666666666667</v>
      </c>
      <c r="K22" s="67">
        <v>1500</v>
      </c>
      <c r="L22" s="67">
        <v>1760</v>
      </c>
      <c r="M22" s="96">
        <f>L22/K22</f>
        <v>1.1733333333333333</v>
      </c>
      <c r="N22" s="67">
        <v>1500</v>
      </c>
      <c r="O22" s="67">
        <v>1850</v>
      </c>
      <c r="P22" s="96">
        <f>O22/N22</f>
        <v>1.2333333333333334</v>
      </c>
      <c r="Q22" s="67">
        <v>1500</v>
      </c>
      <c r="R22" s="67">
        <v>1860</v>
      </c>
      <c r="S22" s="96">
        <f>R22/Q22</f>
        <v>1.24</v>
      </c>
      <c r="T22" s="67">
        <v>1500</v>
      </c>
      <c r="U22" s="67"/>
      <c r="V22" s="96">
        <f>U22/T22</f>
        <v>0</v>
      </c>
      <c r="W22" s="67">
        <f t="shared" si="9"/>
        <v>9000</v>
      </c>
      <c r="X22" s="67">
        <f t="shared" si="9"/>
        <v>8650</v>
      </c>
      <c r="Y22" s="96">
        <f>X22/W22</f>
        <v>0.96111111111111114</v>
      </c>
      <c r="Z22" s="67">
        <v>1500</v>
      </c>
      <c r="AA22" s="67"/>
      <c r="AB22" s="96">
        <f>AA22/Z22</f>
        <v>0</v>
      </c>
      <c r="AC22" s="67">
        <v>1500</v>
      </c>
      <c r="AD22" s="67"/>
      <c r="AE22" s="96">
        <f>AD22/AC22</f>
        <v>0</v>
      </c>
      <c r="AF22" s="67">
        <v>1500</v>
      </c>
      <c r="AG22" s="67"/>
      <c r="AH22" s="96">
        <f>AG22/AF22</f>
        <v>0</v>
      </c>
      <c r="AI22" s="67">
        <v>1500</v>
      </c>
      <c r="AJ22" s="67"/>
      <c r="AK22" s="96">
        <f>AJ22/AI22</f>
        <v>0</v>
      </c>
      <c r="AL22" s="67">
        <v>1500</v>
      </c>
      <c r="AM22" s="67"/>
      <c r="AN22" s="96">
        <f>AM22/AL22</f>
        <v>0</v>
      </c>
      <c r="AO22" s="67">
        <v>1500</v>
      </c>
      <c r="AP22" s="67"/>
      <c r="AQ22" s="96">
        <f>AP22/AO22</f>
        <v>0</v>
      </c>
      <c r="AR22" s="67">
        <f t="shared" si="10"/>
        <v>9000</v>
      </c>
      <c r="AS22" s="67">
        <f t="shared" si="10"/>
        <v>0</v>
      </c>
      <c r="AT22" s="96">
        <f>AS22/AR22</f>
        <v>0</v>
      </c>
      <c r="AU22" s="67">
        <f t="shared" si="11"/>
        <v>18000</v>
      </c>
      <c r="AV22" s="67">
        <f t="shared" si="11"/>
        <v>8650</v>
      </c>
      <c r="AW22" s="101">
        <f>AV22/AU22</f>
        <v>0.48055555555555557</v>
      </c>
      <c r="AX22" s="65"/>
      <c r="AY22" s="65"/>
      <c r="BA22" s="54"/>
    </row>
    <row r="23" spans="1:59" ht="104" customHeight="1">
      <c r="B23" s="247" t="s">
        <v>15</v>
      </c>
      <c r="C23" s="248"/>
      <c r="D23" s="249"/>
      <c r="E23" s="102">
        <f>SUM(E19:E22)</f>
        <v>4500</v>
      </c>
      <c r="F23" s="94">
        <f t="shared" ref="F23:AV23" si="12">SUM(F19:F22)</f>
        <v>3070</v>
      </c>
      <c r="G23" s="91">
        <f>F23/E23</f>
        <v>0.68222222222222217</v>
      </c>
      <c r="H23" s="85">
        <f t="shared" si="12"/>
        <v>4500</v>
      </c>
      <c r="I23" s="86">
        <f t="shared" si="12"/>
        <v>4820</v>
      </c>
      <c r="J23" s="91">
        <f>I23/H23</f>
        <v>1.0711111111111111</v>
      </c>
      <c r="K23" s="86">
        <f t="shared" si="12"/>
        <v>4500</v>
      </c>
      <c r="L23" s="86">
        <f t="shared" si="12"/>
        <v>5410</v>
      </c>
      <c r="M23" s="91">
        <f>L23/K23</f>
        <v>1.2022222222222223</v>
      </c>
      <c r="N23" s="86">
        <f t="shared" si="12"/>
        <v>4500</v>
      </c>
      <c r="O23" s="90">
        <f t="shared" si="12"/>
        <v>3060</v>
      </c>
      <c r="P23" s="91">
        <f>O23/N23</f>
        <v>0.68</v>
      </c>
      <c r="Q23" s="90">
        <f t="shared" si="12"/>
        <v>4500</v>
      </c>
      <c r="R23" s="86">
        <f t="shared" si="12"/>
        <v>3120</v>
      </c>
      <c r="S23" s="91">
        <f>R23/Q23</f>
        <v>0.69333333333333336</v>
      </c>
      <c r="T23" s="103">
        <f t="shared" si="12"/>
        <v>4500</v>
      </c>
      <c r="U23" s="86">
        <f t="shared" si="12"/>
        <v>0</v>
      </c>
      <c r="V23" s="91">
        <f>U23/T23</f>
        <v>0</v>
      </c>
      <c r="W23" s="85">
        <f t="shared" si="12"/>
        <v>27000</v>
      </c>
      <c r="X23" s="86">
        <f t="shared" si="12"/>
        <v>19480</v>
      </c>
      <c r="Y23" s="104">
        <f>X23/W23</f>
        <v>0.7214814814814815</v>
      </c>
      <c r="Z23" s="86">
        <f t="shared" si="12"/>
        <v>4500</v>
      </c>
      <c r="AA23" s="86">
        <f t="shared" si="12"/>
        <v>0</v>
      </c>
      <c r="AB23" s="91">
        <f>AA23/Z23</f>
        <v>0</v>
      </c>
      <c r="AC23" s="86">
        <f t="shared" si="12"/>
        <v>4500</v>
      </c>
      <c r="AD23" s="86">
        <f t="shared" si="12"/>
        <v>0</v>
      </c>
      <c r="AE23" s="91">
        <f>AD23/AC23</f>
        <v>0</v>
      </c>
      <c r="AF23" s="86">
        <f t="shared" si="12"/>
        <v>4500</v>
      </c>
      <c r="AG23" s="86">
        <f t="shared" si="12"/>
        <v>0</v>
      </c>
      <c r="AH23" s="91">
        <f>AG23/AF23</f>
        <v>0</v>
      </c>
      <c r="AI23" s="86">
        <f t="shared" si="12"/>
        <v>4500</v>
      </c>
      <c r="AJ23" s="86">
        <f t="shared" si="12"/>
        <v>0</v>
      </c>
      <c r="AK23" s="91">
        <f>AJ23/AI23</f>
        <v>0</v>
      </c>
      <c r="AL23" s="86">
        <f t="shared" si="12"/>
        <v>4500</v>
      </c>
      <c r="AM23" s="86">
        <f t="shared" si="12"/>
        <v>0</v>
      </c>
      <c r="AN23" s="91">
        <f>AM23/AL23</f>
        <v>0</v>
      </c>
      <c r="AO23" s="86">
        <f t="shared" si="12"/>
        <v>4500</v>
      </c>
      <c r="AP23" s="86">
        <f t="shared" si="12"/>
        <v>0</v>
      </c>
      <c r="AQ23" s="91">
        <f>AP23/AO23</f>
        <v>0</v>
      </c>
      <c r="AR23" s="86">
        <f>SUM(AR19:AR22)</f>
        <v>27000</v>
      </c>
      <c r="AS23" s="86">
        <f t="shared" ref="AS23" si="13">SUM(AS19:AS22)</f>
        <v>0</v>
      </c>
      <c r="AT23" s="104">
        <f>AS23/AR23</f>
        <v>0</v>
      </c>
      <c r="AU23" s="86">
        <f t="shared" si="12"/>
        <v>54000</v>
      </c>
      <c r="AV23" s="86">
        <f t="shared" si="12"/>
        <v>19480</v>
      </c>
      <c r="AW23" s="105">
        <f>AV23/AU23</f>
        <v>0.36074074074074075</v>
      </c>
    </row>
    <row r="24" spans="1:59" s="63" customFormat="1" ht="141.75" customHeight="1">
      <c r="A24" s="64"/>
      <c r="O24" s="83"/>
      <c r="AU24" s="87"/>
      <c r="AV24" s="87"/>
      <c r="AW24" s="87"/>
    </row>
    <row r="25" spans="1:59" ht="80.25" customHeight="1">
      <c r="B25" s="80"/>
      <c r="C25" s="80"/>
      <c r="D25" s="80"/>
      <c r="E25" s="220"/>
      <c r="F25" s="220"/>
      <c r="G25" s="80"/>
      <c r="H25" s="80"/>
      <c r="I25" s="80"/>
      <c r="J25" s="80"/>
      <c r="K25" s="80"/>
      <c r="L25" s="80"/>
      <c r="M25" s="80"/>
      <c r="N25" s="80"/>
      <c r="O25" s="80"/>
      <c r="P25" s="80"/>
      <c r="Q25" s="80"/>
      <c r="R25" s="80"/>
      <c r="S25" s="80"/>
      <c r="T25" s="80"/>
      <c r="U25" s="80"/>
      <c r="V25" s="80"/>
      <c r="W25" s="80"/>
      <c r="X25" s="80"/>
      <c r="Y25" s="80"/>
      <c r="Z25" s="80"/>
      <c r="AA25" s="80"/>
      <c r="AB25" s="80"/>
      <c r="AC25" s="80"/>
      <c r="AD25" s="80"/>
      <c r="AE25" s="80"/>
      <c r="AF25" s="80"/>
      <c r="AG25" s="80"/>
      <c r="AH25" s="80"/>
      <c r="AI25" s="80"/>
      <c r="AJ25" s="80"/>
      <c r="AK25" s="80"/>
      <c r="AL25" s="80"/>
      <c r="AM25" s="80"/>
      <c r="AN25" s="80"/>
      <c r="AO25" s="80"/>
      <c r="AP25" s="80"/>
      <c r="AQ25" s="80"/>
      <c r="AR25" s="80"/>
      <c r="AS25" s="80"/>
      <c r="AT25" s="80"/>
      <c r="AU25" s="80"/>
      <c r="AV25" s="80"/>
      <c r="AW25" s="80"/>
    </row>
    <row r="26" spans="1:59" s="58" customFormat="1" ht="20.25" customHeight="1">
      <c r="A26" s="54"/>
      <c r="B26" s="55"/>
      <c r="E26" s="65"/>
      <c r="F26" s="65"/>
      <c r="G26" s="65"/>
      <c r="H26" s="65"/>
      <c r="I26" s="57"/>
      <c r="J26" s="65"/>
      <c r="K26" s="57"/>
      <c r="L26" s="65"/>
      <c r="M26" s="65"/>
      <c r="N26" s="65"/>
      <c r="O26" s="65"/>
      <c r="P26" s="65"/>
      <c r="Q26" s="65"/>
      <c r="R26" s="65"/>
      <c r="S26" s="65"/>
      <c r="T26" s="65"/>
      <c r="U26" s="65"/>
      <c r="V26" s="65"/>
      <c r="W26" s="65"/>
      <c r="X26" s="65"/>
      <c r="Y26" s="57"/>
      <c r="Z26" s="65"/>
      <c r="AA26" s="65"/>
      <c r="AB26" s="65"/>
      <c r="AC26" s="65"/>
      <c r="AD26" s="57"/>
      <c r="AE26" s="65"/>
      <c r="AF26" s="57"/>
      <c r="AG26" s="65"/>
      <c r="AH26" s="65"/>
      <c r="AI26" s="65"/>
      <c r="AJ26" s="65"/>
      <c r="AK26" s="65"/>
      <c r="AL26" s="65"/>
      <c r="AM26" s="65"/>
      <c r="AN26" s="65"/>
      <c r="AO26" s="65"/>
      <c r="AP26" s="65"/>
      <c r="AQ26" s="65"/>
      <c r="AR26" s="65"/>
      <c r="AS26" s="65"/>
      <c r="AT26" s="57"/>
      <c r="AU26" s="65"/>
      <c r="AV26" s="65"/>
      <c r="AW26" s="66"/>
      <c r="BB26" s="59"/>
      <c r="BC26" s="59"/>
      <c r="BD26" s="59"/>
      <c r="BE26" s="59"/>
      <c r="BF26" s="59"/>
      <c r="BG26" s="59"/>
    </row>
    <row r="27" spans="1:59" s="58" customFormat="1" ht="20.25" customHeight="1">
      <c r="A27" s="54"/>
      <c r="B27" s="55"/>
      <c r="E27" s="65"/>
      <c r="F27" s="65"/>
      <c r="G27" s="65"/>
      <c r="H27" s="65"/>
      <c r="I27" s="57"/>
      <c r="J27" s="65"/>
      <c r="K27" s="57"/>
      <c r="L27" s="65"/>
      <c r="M27" s="65"/>
      <c r="N27" s="65"/>
      <c r="O27" s="65"/>
      <c r="P27" s="65"/>
      <c r="Q27" s="65"/>
      <c r="R27" s="65"/>
      <c r="S27" s="65"/>
      <c r="T27" s="65"/>
      <c r="U27" s="65"/>
      <c r="V27" s="65"/>
      <c r="W27" s="65"/>
      <c r="X27" s="65"/>
      <c r="Y27" s="57"/>
      <c r="Z27" s="65"/>
      <c r="AA27" s="65"/>
      <c r="AB27" s="65"/>
      <c r="AC27" s="65"/>
      <c r="AD27" s="57"/>
      <c r="AE27" s="65"/>
      <c r="AF27" s="57"/>
      <c r="AG27" s="65"/>
      <c r="AH27" s="65"/>
      <c r="AI27" s="65"/>
      <c r="AJ27" s="65"/>
      <c r="AK27" s="65"/>
      <c r="AL27" s="65"/>
      <c r="AM27" s="65"/>
      <c r="AN27" s="65"/>
      <c r="AO27" s="65"/>
      <c r="AP27" s="65"/>
      <c r="AQ27" s="65"/>
      <c r="AR27" s="65"/>
      <c r="AS27" s="65"/>
      <c r="AT27" s="57"/>
      <c r="AU27" s="65"/>
      <c r="AV27" s="65"/>
      <c r="AW27" s="66"/>
      <c r="BB27" s="59"/>
      <c r="BC27" s="59"/>
      <c r="BD27" s="59"/>
      <c r="BE27" s="59"/>
      <c r="BF27" s="59"/>
      <c r="BG27" s="59"/>
    </row>
    <row r="28" spans="1:59" s="58" customFormat="1" ht="20.25" customHeight="1">
      <c r="A28" s="54"/>
      <c r="B28" s="55"/>
      <c r="E28" s="65"/>
      <c r="F28" s="65"/>
      <c r="G28" s="65"/>
      <c r="H28" s="65"/>
      <c r="I28" s="57"/>
      <c r="J28" s="65"/>
      <c r="K28" s="57"/>
      <c r="L28" s="57"/>
      <c r="M28" s="65"/>
      <c r="N28" s="57"/>
      <c r="O28" s="57"/>
      <c r="P28" s="65"/>
      <c r="Q28" s="57"/>
      <c r="R28" s="57"/>
      <c r="S28" s="65"/>
      <c r="T28" s="57"/>
      <c r="U28" s="57"/>
      <c r="V28" s="65"/>
      <c r="W28" s="57"/>
      <c r="X28" s="57"/>
      <c r="Y28" s="57"/>
      <c r="Z28" s="65"/>
      <c r="AA28" s="65"/>
      <c r="AB28" s="65"/>
      <c r="AC28" s="65"/>
      <c r="AD28" s="57"/>
      <c r="AE28" s="65"/>
      <c r="AF28" s="57"/>
      <c r="AG28" s="57"/>
      <c r="AH28" s="65"/>
      <c r="AI28" s="57"/>
      <c r="AJ28" s="57"/>
      <c r="AK28" s="65"/>
      <c r="AL28" s="57"/>
      <c r="AM28" s="57"/>
      <c r="AN28" s="65"/>
      <c r="AO28" s="57"/>
      <c r="AP28" s="57"/>
      <c r="AQ28" s="65"/>
      <c r="AR28" s="57"/>
      <c r="AS28" s="57"/>
      <c r="AT28" s="57"/>
      <c r="AU28" s="57"/>
      <c r="AV28" s="57"/>
      <c r="AW28" s="66"/>
      <c r="BB28" s="59"/>
      <c r="BC28" s="59"/>
      <c r="BD28" s="59"/>
      <c r="BE28" s="59"/>
      <c r="BF28" s="59"/>
      <c r="BG28" s="59"/>
    </row>
    <row r="29" spans="1:59" s="58" customFormat="1" ht="20.25" customHeight="1">
      <c r="A29" s="54"/>
      <c r="B29" s="55"/>
      <c r="C29" s="56"/>
      <c r="D29" s="56"/>
      <c r="E29" s="57"/>
      <c r="F29" s="57"/>
      <c r="G29" s="57"/>
      <c r="H29" s="57"/>
      <c r="I29" s="57"/>
      <c r="J29" s="57"/>
      <c r="K29" s="57"/>
      <c r="L29" s="57"/>
      <c r="M29" s="57"/>
      <c r="N29" s="57"/>
      <c r="O29" s="57"/>
      <c r="P29" s="57"/>
      <c r="Q29" s="57"/>
      <c r="R29" s="57"/>
      <c r="S29" s="57"/>
      <c r="T29" s="57"/>
      <c r="U29" s="57"/>
      <c r="V29" s="57"/>
      <c r="W29" s="57"/>
      <c r="X29" s="57"/>
      <c r="Y29" s="57"/>
      <c r="Z29" s="57"/>
      <c r="AA29" s="57"/>
      <c r="AB29" s="57"/>
      <c r="AC29" s="57"/>
      <c r="AD29" s="57"/>
      <c r="AE29" s="57"/>
      <c r="AF29" s="57"/>
      <c r="AG29" s="57"/>
      <c r="AH29" s="57"/>
      <c r="AI29" s="57"/>
      <c r="AJ29" s="57"/>
      <c r="AK29" s="57"/>
      <c r="AL29" s="57"/>
      <c r="AM29" s="57"/>
      <c r="AN29" s="57"/>
      <c r="AO29" s="57"/>
      <c r="AP29" s="57"/>
      <c r="AQ29" s="57"/>
      <c r="AR29" s="57"/>
      <c r="AS29" s="57"/>
      <c r="AT29" s="57"/>
      <c r="AU29" s="57"/>
      <c r="AV29" s="57"/>
      <c r="AW29" s="66"/>
      <c r="BB29" s="59"/>
      <c r="BC29" s="59"/>
      <c r="BD29" s="59"/>
      <c r="BE29" s="59"/>
      <c r="BF29" s="59"/>
      <c r="BG29" s="59"/>
    </row>
    <row r="30" spans="1:59" s="58" customFormat="1" ht="20.25" customHeight="1">
      <c r="A30" s="54"/>
      <c r="B30" s="55"/>
      <c r="C30" s="56"/>
      <c r="D30" s="56"/>
      <c r="E30" s="57"/>
      <c r="F30" s="57"/>
      <c r="G30" s="57"/>
      <c r="H30" s="57"/>
      <c r="I30" s="57"/>
      <c r="J30" s="57"/>
      <c r="K30" s="57"/>
      <c r="L30" s="65"/>
      <c r="M30" s="57"/>
      <c r="N30" s="57"/>
      <c r="O30" s="57"/>
      <c r="P30" s="57"/>
      <c r="Q30" s="57"/>
      <c r="R30" s="57"/>
      <c r="S30" s="57"/>
      <c r="T30" s="57"/>
      <c r="U30" s="57"/>
      <c r="V30" s="57"/>
      <c r="W30" s="57"/>
      <c r="X30" s="57"/>
      <c r="Y30" s="57"/>
      <c r="Z30" s="57"/>
      <c r="AA30" s="57"/>
      <c r="AB30" s="57"/>
      <c r="AC30" s="57"/>
      <c r="AD30" s="57"/>
      <c r="AE30" s="57"/>
      <c r="AF30" s="57"/>
      <c r="AG30" s="65"/>
      <c r="AH30" s="57"/>
      <c r="AI30" s="57"/>
      <c r="AJ30" s="57"/>
      <c r="AK30" s="57"/>
      <c r="AL30" s="57"/>
      <c r="AM30" s="57"/>
      <c r="AN30" s="57"/>
      <c r="AO30" s="57"/>
      <c r="AP30" s="57"/>
      <c r="AQ30" s="57"/>
      <c r="AR30" s="57"/>
      <c r="AS30" s="57"/>
      <c r="AT30" s="57"/>
      <c r="AU30" s="57"/>
      <c r="AV30" s="57"/>
      <c r="AW30" s="66"/>
      <c r="BB30" s="59"/>
      <c r="BC30" s="59"/>
      <c r="BD30" s="59"/>
      <c r="BE30" s="59"/>
      <c r="BF30" s="59"/>
      <c r="BG30" s="59"/>
    </row>
    <row r="31" spans="1:59" s="58" customFormat="1" ht="20.25" customHeight="1">
      <c r="A31" s="54"/>
      <c r="B31" s="55"/>
      <c r="C31" s="56"/>
      <c r="D31" s="56"/>
      <c r="E31" s="57"/>
      <c r="F31" s="57"/>
      <c r="G31" s="57"/>
      <c r="H31" s="57"/>
      <c r="I31" s="57"/>
      <c r="J31" s="57"/>
      <c r="K31" s="57"/>
      <c r="L31" s="57"/>
      <c r="M31" s="57"/>
      <c r="N31" s="57"/>
      <c r="O31" s="57"/>
      <c r="P31" s="57"/>
      <c r="Q31" s="57"/>
      <c r="R31" s="57"/>
      <c r="S31" s="57"/>
      <c r="T31" s="57"/>
      <c r="U31" s="57"/>
      <c r="V31" s="57"/>
      <c r="W31" s="57"/>
      <c r="X31" s="57"/>
      <c r="Y31" s="57"/>
      <c r="Z31" s="57"/>
      <c r="AA31" s="57"/>
      <c r="AB31" s="57"/>
      <c r="AC31" s="57"/>
      <c r="AD31" s="57"/>
      <c r="AE31" s="57"/>
      <c r="AF31" s="57"/>
      <c r="AG31" s="57"/>
      <c r="AH31" s="57"/>
      <c r="AI31" s="57"/>
      <c r="AJ31" s="57"/>
      <c r="AK31" s="57"/>
      <c r="AL31" s="57"/>
      <c r="AM31" s="57"/>
      <c r="AN31" s="57"/>
      <c r="AO31" s="57"/>
      <c r="AP31" s="57"/>
      <c r="AQ31" s="57"/>
      <c r="AR31" s="57"/>
      <c r="AS31" s="57"/>
      <c r="AT31" s="57"/>
      <c r="AU31" s="57"/>
      <c r="AV31" s="57"/>
      <c r="AW31" s="66"/>
      <c r="BB31" s="59"/>
      <c r="BC31" s="59"/>
      <c r="BD31" s="59"/>
      <c r="BE31" s="59"/>
      <c r="BF31" s="59"/>
      <c r="BG31" s="59"/>
    </row>
    <row r="32" spans="1:59" s="58" customFormat="1" ht="20.25" customHeight="1">
      <c r="A32" s="54"/>
      <c r="B32" s="55"/>
      <c r="C32" s="56"/>
      <c r="D32" s="56"/>
      <c r="E32" s="57"/>
      <c r="F32" s="57"/>
      <c r="G32" s="57"/>
      <c r="H32" s="57"/>
      <c r="I32" s="57"/>
      <c r="J32" s="57"/>
      <c r="K32" s="57"/>
      <c r="L32" s="57"/>
      <c r="M32" s="57"/>
      <c r="N32" s="57"/>
      <c r="O32" s="57"/>
      <c r="P32" s="57"/>
      <c r="Q32" s="57"/>
      <c r="R32" s="57"/>
      <c r="S32" s="57"/>
      <c r="T32" s="57"/>
      <c r="U32" s="57"/>
      <c r="V32" s="57"/>
      <c r="W32" s="57"/>
      <c r="X32" s="57"/>
      <c r="Y32" s="57"/>
      <c r="Z32" s="57"/>
      <c r="AA32" s="57"/>
      <c r="AB32" s="57"/>
      <c r="AC32" s="57"/>
      <c r="AD32" s="57"/>
      <c r="AE32" s="57"/>
      <c r="AF32" s="57"/>
      <c r="AG32" s="57"/>
      <c r="AH32" s="57"/>
      <c r="AI32" s="57"/>
      <c r="AJ32" s="57"/>
      <c r="AK32" s="57"/>
      <c r="AL32" s="57"/>
      <c r="AM32" s="57"/>
      <c r="AN32" s="57"/>
      <c r="AO32" s="57"/>
      <c r="AP32" s="57"/>
      <c r="AQ32" s="57"/>
      <c r="AR32" s="57"/>
      <c r="AS32" s="57"/>
      <c r="AT32" s="57"/>
      <c r="AU32" s="57"/>
      <c r="AV32" s="57"/>
      <c r="AW32" s="66"/>
      <c r="BB32" s="59"/>
      <c r="BC32" s="59"/>
      <c r="BD32" s="59"/>
      <c r="BE32" s="59"/>
      <c r="BF32" s="59"/>
      <c r="BG32" s="59"/>
    </row>
  </sheetData>
  <mergeCells count="44">
    <mergeCell ref="E25:F25"/>
    <mergeCell ref="B17:D17"/>
    <mergeCell ref="B18:D18"/>
    <mergeCell ref="B19:D19"/>
    <mergeCell ref="B20:D20"/>
    <mergeCell ref="B21:D21"/>
    <mergeCell ref="B22:D22"/>
    <mergeCell ref="B14:D14"/>
    <mergeCell ref="AX14:AX16"/>
    <mergeCell ref="B15:D15"/>
    <mergeCell ref="B16:D16"/>
    <mergeCell ref="B23:D23"/>
    <mergeCell ref="B11:D11"/>
    <mergeCell ref="B12:D12"/>
    <mergeCell ref="AX12:AY12"/>
    <mergeCell ref="B10:D10"/>
    <mergeCell ref="B13:D13"/>
    <mergeCell ref="AU4:AW4"/>
    <mergeCell ref="B6:D6"/>
    <mergeCell ref="Z4:AB4"/>
    <mergeCell ref="AC4:AE4"/>
    <mergeCell ref="AX8:AX9"/>
    <mergeCell ref="B9:D9"/>
    <mergeCell ref="B7:D7"/>
    <mergeCell ref="B8:D8"/>
    <mergeCell ref="B5:D5"/>
    <mergeCell ref="T4:V4"/>
    <mergeCell ref="W4:Y4"/>
    <mergeCell ref="A2:D2"/>
    <mergeCell ref="AY2:AZ2"/>
    <mergeCell ref="B3:D3"/>
    <mergeCell ref="AX3:AY3"/>
    <mergeCell ref="B4:D4"/>
    <mergeCell ref="E4:G4"/>
    <mergeCell ref="H4:J4"/>
    <mergeCell ref="K4:M4"/>
    <mergeCell ref="N4:P4"/>
    <mergeCell ref="Q4:S4"/>
    <mergeCell ref="AX4:AY4"/>
    <mergeCell ref="AF4:AH4"/>
    <mergeCell ref="AI4:AK4"/>
    <mergeCell ref="AL4:AN4"/>
    <mergeCell ref="AO4:AQ4"/>
    <mergeCell ref="AR4:AT4"/>
  </mergeCells>
  <phoneticPr fontId="1"/>
  <printOptions horizontalCentered="1"/>
  <pageMargins left="0.39370078740157499" right="0.39370078740157499" top="0.59055118110236204" bottom="0.39370078740157499" header="0.39370078740157499" footer="0.196850393700787"/>
  <pageSetup paperSize="8" scale="21" orientation="landscape" r:id="rId1"/>
  <headerFooter>
    <oddHeader>&amp;R&amp;"HG丸ｺﾞｼｯｸM-PRO,標準"&amp;14ＳＨＣ</oddHeader>
  </headerFooter>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BCFAD4-07F4-4D79-869D-70641A457100}">
  <sheetPr>
    <tabColor rgb="FF7030A0"/>
    <pageSetUpPr fitToPage="1"/>
  </sheetPr>
  <dimension ref="A1:BG32"/>
  <sheetViews>
    <sheetView showGridLines="0" view="pageBreakPreview" topLeftCell="B1" zoomScale="40" zoomScaleNormal="100" zoomScaleSheetLayoutView="40" zoomScalePageLayoutView="80" workbookViewId="0">
      <pane xSplit="3" ySplit="6" topLeftCell="E7" activePane="bottomRight" state="frozen"/>
      <selection activeCell="B1" sqref="B1"/>
      <selection pane="topRight" activeCell="E1" sqref="E1"/>
      <selection pane="bottomLeft" activeCell="B6" sqref="B6"/>
      <selection pane="bottomRight" activeCell="L14" sqref="L14"/>
    </sheetView>
  </sheetViews>
  <sheetFormatPr defaultColWidth="9" defaultRowHeight="20.25" customHeight="1" outlineLevelRow="1"/>
  <cols>
    <col min="1" max="1" width="9" style="54"/>
    <col min="2" max="2" width="20.59765625" style="55" customWidth="1"/>
    <col min="3" max="4" width="20.59765625" style="56" customWidth="1"/>
    <col min="5" max="8" width="18.265625" style="57" customWidth="1"/>
    <col min="9" max="9" width="16.1328125" style="57" customWidth="1"/>
    <col min="10" max="22" width="18.265625" style="57" customWidth="1"/>
    <col min="23" max="23" width="23.33203125" style="57" bestFit="1" customWidth="1"/>
    <col min="24" max="43" width="18.265625" style="57" customWidth="1"/>
    <col min="44" max="44" width="23.33203125" style="57" bestFit="1" customWidth="1"/>
    <col min="45" max="46" width="18.265625" style="57" customWidth="1"/>
    <col min="47" max="47" width="23.33203125" style="57" bestFit="1" customWidth="1"/>
    <col min="48" max="48" width="18.265625" style="57" customWidth="1"/>
    <col min="49" max="49" width="18.265625" style="66" customWidth="1"/>
    <col min="50" max="51" width="10.06640625" style="58" customWidth="1"/>
    <col min="52" max="52" width="12.33203125" style="58" customWidth="1"/>
    <col min="53" max="53" width="2.33203125" style="58" customWidth="1"/>
    <col min="54" max="58" width="9" style="59"/>
    <col min="59" max="59" width="25.796875" style="59" customWidth="1"/>
    <col min="60" max="16384" width="9" style="59"/>
  </cols>
  <sheetData>
    <row r="1" spans="1:53" ht="20.25" customHeight="1">
      <c r="AW1" s="57"/>
    </row>
    <row r="2" spans="1:53" s="63" customFormat="1" ht="80.25" customHeight="1">
      <c r="A2" s="180" t="s">
        <v>39</v>
      </c>
      <c r="B2" s="180"/>
      <c r="C2" s="180"/>
      <c r="D2" s="180"/>
      <c r="E2" s="60"/>
      <c r="F2" s="60"/>
      <c r="G2" s="60"/>
      <c r="H2" s="60"/>
      <c r="I2" s="60"/>
      <c r="J2" s="60"/>
      <c r="K2" s="60"/>
      <c r="L2" s="60"/>
      <c r="M2" s="60"/>
      <c r="N2" s="60"/>
      <c r="O2" s="60"/>
      <c r="P2" s="60"/>
      <c r="Q2" s="60"/>
      <c r="R2" s="60"/>
      <c r="S2" s="60"/>
      <c r="T2" s="60"/>
      <c r="U2" s="60"/>
      <c r="V2" s="60"/>
      <c r="W2" s="60"/>
      <c r="X2" s="60"/>
      <c r="Y2" s="60"/>
      <c r="Z2" s="60"/>
      <c r="AA2" s="60"/>
      <c r="AB2" s="60"/>
      <c r="AC2" s="60"/>
      <c r="AD2" s="60"/>
      <c r="AE2" s="60"/>
      <c r="AF2" s="60"/>
      <c r="AG2" s="60"/>
      <c r="AH2" s="60"/>
      <c r="AI2" s="60"/>
      <c r="AJ2" s="60"/>
      <c r="AK2" s="60"/>
      <c r="AL2" s="60"/>
      <c r="AM2" s="60"/>
      <c r="AN2" s="60"/>
      <c r="AO2" s="60"/>
      <c r="AP2" s="60"/>
      <c r="AQ2" s="60"/>
      <c r="AR2" s="60"/>
      <c r="AS2" s="60"/>
      <c r="AT2" s="60"/>
      <c r="AU2" s="60"/>
      <c r="AV2" s="60"/>
      <c r="AW2" s="60"/>
      <c r="AX2" s="61"/>
      <c r="AY2" s="181"/>
      <c r="AZ2" s="182"/>
      <c r="BA2" s="62"/>
    </row>
    <row r="3" spans="1:53" s="63" customFormat="1" ht="80.25" customHeight="1">
      <c r="A3" s="64"/>
      <c r="B3" s="183" t="s">
        <v>57</v>
      </c>
      <c r="C3" s="183"/>
      <c r="D3" s="183"/>
      <c r="E3" s="60"/>
      <c r="F3" s="60"/>
      <c r="G3" s="60"/>
      <c r="H3" s="60"/>
      <c r="I3" s="60"/>
      <c r="J3" s="60"/>
      <c r="K3" s="60"/>
      <c r="L3" s="60"/>
      <c r="M3" s="60"/>
      <c r="N3" s="60"/>
      <c r="O3" s="60"/>
      <c r="P3" s="60"/>
      <c r="Q3" s="60"/>
      <c r="R3" s="60"/>
      <c r="S3" s="60"/>
      <c r="T3" s="60"/>
      <c r="U3" s="60"/>
      <c r="V3" s="60"/>
      <c r="W3" s="60"/>
      <c r="X3" s="60"/>
      <c r="Y3" s="60"/>
      <c r="Z3" s="60"/>
      <c r="AA3" s="60"/>
      <c r="AB3" s="60"/>
      <c r="AC3" s="60"/>
      <c r="AD3" s="60"/>
      <c r="AE3" s="60"/>
      <c r="AF3" s="60"/>
      <c r="AG3" s="60"/>
      <c r="AH3" s="60"/>
      <c r="AI3" s="60"/>
      <c r="AJ3" s="60"/>
      <c r="AK3" s="60"/>
      <c r="AL3" s="60"/>
      <c r="AM3" s="60"/>
      <c r="AN3" s="60"/>
      <c r="AO3" s="60"/>
      <c r="AP3" s="60"/>
      <c r="AQ3" s="60"/>
      <c r="AR3" s="60"/>
      <c r="AS3" s="60"/>
      <c r="AT3" s="60"/>
      <c r="AU3" s="60"/>
      <c r="AV3" s="60"/>
      <c r="AW3" s="60" t="s">
        <v>46</v>
      </c>
      <c r="AX3" s="184"/>
      <c r="AY3" s="184"/>
    </row>
    <row r="4" spans="1:53" ht="76.05" customHeight="1">
      <c r="B4" s="185"/>
      <c r="C4" s="186"/>
      <c r="D4" s="187"/>
      <c r="E4" s="188" t="s">
        <v>14</v>
      </c>
      <c r="F4" s="189"/>
      <c r="G4" s="190"/>
      <c r="H4" s="188" t="s">
        <v>13</v>
      </c>
      <c r="I4" s="189"/>
      <c r="J4" s="190"/>
      <c r="K4" s="188" t="s">
        <v>12</v>
      </c>
      <c r="L4" s="189"/>
      <c r="M4" s="190"/>
      <c r="N4" s="188" t="s">
        <v>11</v>
      </c>
      <c r="O4" s="189"/>
      <c r="P4" s="190"/>
      <c r="Q4" s="188" t="s">
        <v>10</v>
      </c>
      <c r="R4" s="189"/>
      <c r="S4" s="190"/>
      <c r="T4" s="188" t="s">
        <v>9</v>
      </c>
      <c r="U4" s="189"/>
      <c r="V4" s="190"/>
      <c r="W4" s="192" t="s">
        <v>43</v>
      </c>
      <c r="X4" s="193"/>
      <c r="Y4" s="194"/>
      <c r="Z4" s="188" t="s">
        <v>6</v>
      </c>
      <c r="AA4" s="189"/>
      <c r="AB4" s="190"/>
      <c r="AC4" s="188" t="s">
        <v>50</v>
      </c>
      <c r="AD4" s="189"/>
      <c r="AE4" s="190"/>
      <c r="AF4" s="188" t="s">
        <v>51</v>
      </c>
      <c r="AG4" s="189"/>
      <c r="AH4" s="190"/>
      <c r="AI4" s="188" t="s">
        <v>52</v>
      </c>
      <c r="AJ4" s="189"/>
      <c r="AK4" s="190"/>
      <c r="AL4" s="188" t="s">
        <v>53</v>
      </c>
      <c r="AM4" s="189"/>
      <c r="AN4" s="190"/>
      <c r="AO4" s="188" t="s">
        <v>54</v>
      </c>
      <c r="AP4" s="189"/>
      <c r="AQ4" s="190"/>
      <c r="AR4" s="192" t="s">
        <v>44</v>
      </c>
      <c r="AS4" s="193"/>
      <c r="AT4" s="194"/>
      <c r="AU4" s="235" t="s">
        <v>45</v>
      </c>
      <c r="AV4" s="236"/>
      <c r="AW4" s="237"/>
      <c r="AX4" s="191"/>
      <c r="AY4" s="191"/>
      <c r="AZ4" s="65"/>
      <c r="BA4" s="65"/>
    </row>
    <row r="5" spans="1:53" ht="88.5" customHeight="1">
      <c r="B5" s="210"/>
      <c r="C5" s="189"/>
      <c r="D5" s="190"/>
      <c r="E5" s="97" t="s">
        <v>47</v>
      </c>
      <c r="F5" s="98" t="s">
        <v>48</v>
      </c>
      <c r="G5" s="99" t="s">
        <v>49</v>
      </c>
      <c r="H5" s="97" t="s">
        <v>47</v>
      </c>
      <c r="I5" s="98" t="s">
        <v>48</v>
      </c>
      <c r="J5" s="99" t="s">
        <v>49</v>
      </c>
      <c r="K5" s="97" t="s">
        <v>47</v>
      </c>
      <c r="L5" s="98" t="s">
        <v>48</v>
      </c>
      <c r="M5" s="99" t="s">
        <v>49</v>
      </c>
      <c r="N5" s="97" t="s">
        <v>47</v>
      </c>
      <c r="O5" s="98" t="s">
        <v>48</v>
      </c>
      <c r="P5" s="99" t="s">
        <v>49</v>
      </c>
      <c r="Q5" s="97" t="s">
        <v>47</v>
      </c>
      <c r="R5" s="98" t="s">
        <v>48</v>
      </c>
      <c r="S5" s="99" t="s">
        <v>49</v>
      </c>
      <c r="T5" s="97" t="s">
        <v>47</v>
      </c>
      <c r="U5" s="98" t="s">
        <v>48</v>
      </c>
      <c r="V5" s="99" t="s">
        <v>49</v>
      </c>
      <c r="W5" s="97" t="s">
        <v>47</v>
      </c>
      <c r="X5" s="98" t="s">
        <v>48</v>
      </c>
      <c r="Y5" s="99" t="s">
        <v>49</v>
      </c>
      <c r="Z5" s="97" t="s">
        <v>47</v>
      </c>
      <c r="AA5" s="98" t="s">
        <v>48</v>
      </c>
      <c r="AB5" s="99" t="s">
        <v>49</v>
      </c>
      <c r="AC5" s="97" t="s">
        <v>47</v>
      </c>
      <c r="AD5" s="98" t="s">
        <v>48</v>
      </c>
      <c r="AE5" s="99" t="s">
        <v>49</v>
      </c>
      <c r="AF5" s="97" t="s">
        <v>47</v>
      </c>
      <c r="AG5" s="98" t="s">
        <v>48</v>
      </c>
      <c r="AH5" s="99" t="s">
        <v>49</v>
      </c>
      <c r="AI5" s="97" t="s">
        <v>47</v>
      </c>
      <c r="AJ5" s="98" t="s">
        <v>48</v>
      </c>
      <c r="AK5" s="99" t="s">
        <v>49</v>
      </c>
      <c r="AL5" s="97" t="s">
        <v>47</v>
      </c>
      <c r="AM5" s="98" t="s">
        <v>48</v>
      </c>
      <c r="AN5" s="99" t="s">
        <v>49</v>
      </c>
      <c r="AO5" s="97" t="s">
        <v>47</v>
      </c>
      <c r="AP5" s="98" t="s">
        <v>48</v>
      </c>
      <c r="AQ5" s="99" t="s">
        <v>49</v>
      </c>
      <c r="AR5" s="97" t="s">
        <v>47</v>
      </c>
      <c r="AS5" s="98" t="s">
        <v>48</v>
      </c>
      <c r="AT5" s="99" t="s">
        <v>49</v>
      </c>
      <c r="AU5" s="97" t="s">
        <v>47</v>
      </c>
      <c r="AV5" s="98" t="s">
        <v>48</v>
      </c>
      <c r="AW5" s="99" t="s">
        <v>49</v>
      </c>
      <c r="AX5" s="65"/>
      <c r="AY5" s="65"/>
      <c r="AZ5" s="65"/>
      <c r="BA5" s="65"/>
    </row>
    <row r="6" spans="1:53" ht="99" customHeight="1">
      <c r="B6" s="238" t="s">
        <v>18</v>
      </c>
      <c r="C6" s="239"/>
      <c r="D6" s="240"/>
      <c r="E6" s="92">
        <f>E12+E17+E23</f>
        <v>5600</v>
      </c>
      <c r="F6" s="93">
        <f>F12+F17+F23</f>
        <v>3690</v>
      </c>
      <c r="G6" s="88">
        <f>F6/E6</f>
        <v>0.65892857142857142</v>
      </c>
      <c r="H6" s="82">
        <f>H12+H17+H23</f>
        <v>6000</v>
      </c>
      <c r="I6" s="81">
        <f>I12+I17+I23</f>
        <v>5231.5</v>
      </c>
      <c r="J6" s="88">
        <f>I6/H6</f>
        <v>0.87191666666666667</v>
      </c>
      <c r="K6" s="81">
        <f>K12+K17+K23</f>
        <v>5600</v>
      </c>
      <c r="L6" s="81">
        <f>L12+L17+L23</f>
        <v>5570</v>
      </c>
      <c r="M6" s="88">
        <f>L6/K6</f>
        <v>0.99464285714285716</v>
      </c>
      <c r="N6" s="81">
        <f>N12+N17+N23</f>
        <v>6000</v>
      </c>
      <c r="O6" s="81">
        <f>O12+O17+O23</f>
        <v>0</v>
      </c>
      <c r="P6" s="88">
        <f>O6/N6</f>
        <v>0</v>
      </c>
      <c r="Q6" s="81">
        <f>Q12+Q17+Q23</f>
        <v>5600</v>
      </c>
      <c r="R6" s="81">
        <f>R12+R17+R23</f>
        <v>0</v>
      </c>
      <c r="S6" s="88">
        <f>R6/Q6</f>
        <v>0</v>
      </c>
      <c r="T6" s="81">
        <f>T12+T17+T23</f>
        <v>6000</v>
      </c>
      <c r="U6" s="81">
        <f>U12+U17+U23</f>
        <v>0</v>
      </c>
      <c r="V6" s="88">
        <f>U6/T6</f>
        <v>0</v>
      </c>
      <c r="W6" s="81">
        <f>W12+W17+W23</f>
        <v>34800</v>
      </c>
      <c r="X6" s="81">
        <f>X12+X17+X23</f>
        <v>14491.5</v>
      </c>
      <c r="Y6" s="88">
        <f>X6/W6</f>
        <v>0.41642241379310346</v>
      </c>
      <c r="Z6" s="81">
        <f>Z12+Z17+Z23</f>
        <v>5600</v>
      </c>
      <c r="AA6" s="81">
        <f>AA12+AA17+AA23</f>
        <v>0</v>
      </c>
      <c r="AB6" s="88">
        <f>AA6/Z6</f>
        <v>0</v>
      </c>
      <c r="AC6" s="81">
        <f>AC12+AC17+AC23</f>
        <v>6000</v>
      </c>
      <c r="AD6" s="81">
        <f>AD12+AD17+AD23</f>
        <v>0</v>
      </c>
      <c r="AE6" s="88">
        <f>AD6/AC6</f>
        <v>0</v>
      </c>
      <c r="AF6" s="81">
        <f>AF12+AF17+AF23</f>
        <v>5600</v>
      </c>
      <c r="AG6" s="81">
        <f>AG12+AG17+AG23</f>
        <v>0</v>
      </c>
      <c r="AH6" s="88">
        <f>AG6/AF6</f>
        <v>0</v>
      </c>
      <c r="AI6" s="81">
        <f>AI12+AI17+AI23</f>
        <v>6000</v>
      </c>
      <c r="AJ6" s="81">
        <f>AJ12+AJ17+AJ23</f>
        <v>0</v>
      </c>
      <c r="AK6" s="88">
        <f>AJ6/AI6</f>
        <v>0</v>
      </c>
      <c r="AL6" s="81">
        <f>AL12+AL17+AL23</f>
        <v>5600</v>
      </c>
      <c r="AM6" s="81">
        <f>AM12+AM17+AM23</f>
        <v>0</v>
      </c>
      <c r="AN6" s="88">
        <f>AM6/AL6</f>
        <v>0</v>
      </c>
      <c r="AO6" s="81">
        <f>AO12+AO17+AO23</f>
        <v>6000</v>
      </c>
      <c r="AP6" s="81">
        <f>AP12+AP17+AP23</f>
        <v>0</v>
      </c>
      <c r="AQ6" s="88">
        <f>AP6/AO6</f>
        <v>0</v>
      </c>
      <c r="AR6" s="81">
        <f>AR12+AR17+AR23</f>
        <v>34800</v>
      </c>
      <c r="AS6" s="81">
        <f>AS12+AS17+AS23</f>
        <v>0</v>
      </c>
      <c r="AT6" s="88">
        <f>AS6/AR6</f>
        <v>0</v>
      </c>
      <c r="AU6" s="81">
        <f>AU12+AU17+AU23</f>
        <v>69600</v>
      </c>
      <c r="AV6" s="81">
        <f>AV12+AV17+AV23</f>
        <v>14491.5</v>
      </c>
      <c r="AW6" s="100">
        <f>AV6/AU6</f>
        <v>0.20821120689655173</v>
      </c>
      <c r="AX6" s="65"/>
      <c r="AY6" s="65"/>
      <c r="AZ6" s="65"/>
      <c r="BA6" s="65"/>
    </row>
    <row r="7" spans="1:53" ht="80.25" customHeight="1">
      <c r="B7" s="214" t="s">
        <v>55</v>
      </c>
      <c r="C7" s="215"/>
      <c r="D7" s="216"/>
      <c r="E7" s="78" t="s">
        <v>5</v>
      </c>
      <c r="F7" s="95" t="s">
        <v>4</v>
      </c>
      <c r="G7" s="111" t="s">
        <v>56</v>
      </c>
      <c r="H7" s="74" t="s">
        <v>5</v>
      </c>
      <c r="I7" s="68" t="s">
        <v>4</v>
      </c>
      <c r="J7" s="111" t="s">
        <v>56</v>
      </c>
      <c r="K7" s="68" t="s">
        <v>5</v>
      </c>
      <c r="L7" s="68" t="s">
        <v>4</v>
      </c>
      <c r="M7" s="111" t="s">
        <v>56</v>
      </c>
      <c r="N7" s="68" t="s">
        <v>5</v>
      </c>
      <c r="O7" s="68" t="s">
        <v>4</v>
      </c>
      <c r="P7" s="111" t="s">
        <v>56</v>
      </c>
      <c r="Q7" s="68" t="s">
        <v>5</v>
      </c>
      <c r="R7" s="68" t="s">
        <v>4</v>
      </c>
      <c r="S7" s="111" t="s">
        <v>56</v>
      </c>
      <c r="T7" s="68" t="s">
        <v>5</v>
      </c>
      <c r="U7" s="68" t="s">
        <v>4</v>
      </c>
      <c r="V7" s="111" t="s">
        <v>56</v>
      </c>
      <c r="W7" s="68" t="s">
        <v>5</v>
      </c>
      <c r="X7" s="68" t="s">
        <v>4</v>
      </c>
      <c r="Y7" s="111" t="s">
        <v>56</v>
      </c>
      <c r="Z7" s="68" t="s">
        <v>5</v>
      </c>
      <c r="AA7" s="68" t="s">
        <v>4</v>
      </c>
      <c r="AB7" s="111" t="s">
        <v>56</v>
      </c>
      <c r="AC7" s="68" t="s">
        <v>5</v>
      </c>
      <c r="AD7" s="68" t="s">
        <v>4</v>
      </c>
      <c r="AE7" s="111" t="s">
        <v>56</v>
      </c>
      <c r="AF7" s="68" t="s">
        <v>5</v>
      </c>
      <c r="AG7" s="68" t="s">
        <v>4</v>
      </c>
      <c r="AH7" s="111" t="s">
        <v>56</v>
      </c>
      <c r="AI7" s="68" t="s">
        <v>5</v>
      </c>
      <c r="AJ7" s="68" t="s">
        <v>4</v>
      </c>
      <c r="AK7" s="111" t="s">
        <v>56</v>
      </c>
      <c r="AL7" s="68" t="s">
        <v>5</v>
      </c>
      <c r="AM7" s="68" t="s">
        <v>4</v>
      </c>
      <c r="AN7" s="111" t="s">
        <v>56</v>
      </c>
      <c r="AO7" s="68" t="s">
        <v>5</v>
      </c>
      <c r="AP7" s="68" t="s">
        <v>4</v>
      </c>
      <c r="AQ7" s="111" t="s">
        <v>56</v>
      </c>
      <c r="AR7" s="68" t="s">
        <v>5</v>
      </c>
      <c r="AS7" s="68" t="s">
        <v>4</v>
      </c>
      <c r="AT7" s="111" t="s">
        <v>56</v>
      </c>
      <c r="AU7" s="68" t="s">
        <v>5</v>
      </c>
      <c r="AV7" s="68" t="s">
        <v>4</v>
      </c>
      <c r="AW7" s="111" t="s">
        <v>56</v>
      </c>
      <c r="AX7" s="65"/>
      <c r="AY7" s="65"/>
      <c r="BA7" s="54"/>
    </row>
    <row r="8" spans="1:53" ht="80.25" customHeight="1">
      <c r="B8" s="201" t="s">
        <v>0</v>
      </c>
      <c r="C8" s="202"/>
      <c r="D8" s="203"/>
      <c r="E8" s="76">
        <v>900</v>
      </c>
      <c r="F8" s="89">
        <v>400</v>
      </c>
      <c r="G8" s="96">
        <f>F8/E8</f>
        <v>0.44444444444444442</v>
      </c>
      <c r="H8" s="72">
        <v>900</v>
      </c>
      <c r="I8" s="67">
        <v>0</v>
      </c>
      <c r="J8" s="96">
        <f>I8/H8</f>
        <v>0</v>
      </c>
      <c r="K8" s="67">
        <v>900</v>
      </c>
      <c r="L8" s="67">
        <v>0</v>
      </c>
      <c r="M8" s="96">
        <f>L8/K8</f>
        <v>0</v>
      </c>
      <c r="N8" s="67">
        <v>900</v>
      </c>
      <c r="O8" s="67"/>
      <c r="P8" s="96">
        <f>O8/N8</f>
        <v>0</v>
      </c>
      <c r="Q8" s="67">
        <v>900</v>
      </c>
      <c r="R8" s="67"/>
      <c r="S8" s="96">
        <f>R8/Q8</f>
        <v>0</v>
      </c>
      <c r="T8" s="67">
        <v>900</v>
      </c>
      <c r="U8" s="67"/>
      <c r="V8" s="96">
        <f>U8/T8</f>
        <v>0</v>
      </c>
      <c r="W8" s="67">
        <f t="shared" ref="W8:X10" si="0">E8+H8+K8+N8+Q8+T8</f>
        <v>5400</v>
      </c>
      <c r="X8" s="67">
        <f t="shared" si="0"/>
        <v>400</v>
      </c>
      <c r="Y8" s="96">
        <f>X8/W8</f>
        <v>7.407407407407407E-2</v>
      </c>
      <c r="Z8" s="67">
        <v>900</v>
      </c>
      <c r="AA8" s="67"/>
      <c r="AB8" s="96">
        <f>AA8/Z8</f>
        <v>0</v>
      </c>
      <c r="AC8" s="67">
        <v>900</v>
      </c>
      <c r="AD8" s="67"/>
      <c r="AE8" s="96">
        <f>AD8/AC8</f>
        <v>0</v>
      </c>
      <c r="AF8" s="67">
        <v>900</v>
      </c>
      <c r="AG8" s="67"/>
      <c r="AH8" s="96">
        <f>AG8/AF8</f>
        <v>0</v>
      </c>
      <c r="AI8" s="67">
        <v>900</v>
      </c>
      <c r="AJ8" s="67"/>
      <c r="AK8" s="96">
        <f>AJ8/AI8</f>
        <v>0</v>
      </c>
      <c r="AL8" s="67">
        <v>900</v>
      </c>
      <c r="AM8" s="67"/>
      <c r="AN8" s="96">
        <f>AM8/AL8</f>
        <v>0</v>
      </c>
      <c r="AO8" s="67">
        <v>900</v>
      </c>
      <c r="AP8" s="67"/>
      <c r="AQ8" s="96">
        <f>AP8/AO8</f>
        <v>0</v>
      </c>
      <c r="AR8" s="67">
        <f>SUM(Z8:AP8)</f>
        <v>5400</v>
      </c>
      <c r="AS8" s="67">
        <f>AA8+AD8+AG8+AJ8+AM8+AP8</f>
        <v>0</v>
      </c>
      <c r="AT8" s="96">
        <f>AS8/AR8</f>
        <v>0</v>
      </c>
      <c r="AU8" s="67">
        <f t="shared" ref="AU8:AV11" si="1">W8+AR8</f>
        <v>10800</v>
      </c>
      <c r="AV8" s="67">
        <f t="shared" si="1"/>
        <v>400</v>
      </c>
      <c r="AW8" s="101">
        <f>AV8/AU8</f>
        <v>3.7037037037037035E-2</v>
      </c>
      <c r="AX8" s="191"/>
      <c r="BA8" s="54"/>
    </row>
    <row r="9" spans="1:53" ht="80.25" customHeight="1">
      <c r="B9" s="201" t="s">
        <v>3</v>
      </c>
      <c r="C9" s="202"/>
      <c r="D9" s="203"/>
      <c r="E9" s="76">
        <v>200</v>
      </c>
      <c r="F9" s="67">
        <v>0</v>
      </c>
      <c r="G9" s="96">
        <f>F9/E9</f>
        <v>0</v>
      </c>
      <c r="H9" s="72">
        <v>200</v>
      </c>
      <c r="I9" s="67">
        <v>200</v>
      </c>
      <c r="J9" s="96">
        <f>I9/H9</f>
        <v>1</v>
      </c>
      <c r="K9" s="67">
        <v>200</v>
      </c>
      <c r="L9" s="67">
        <v>0</v>
      </c>
      <c r="M9" s="96">
        <f>L9/K9</f>
        <v>0</v>
      </c>
      <c r="N9" s="67">
        <v>200</v>
      </c>
      <c r="O9" s="67"/>
      <c r="P9" s="96">
        <f>O9/N9</f>
        <v>0</v>
      </c>
      <c r="Q9" s="67">
        <v>200</v>
      </c>
      <c r="R9" s="67"/>
      <c r="S9" s="96">
        <f>R9/Q9</f>
        <v>0</v>
      </c>
      <c r="T9" s="67">
        <v>200</v>
      </c>
      <c r="U9" s="67"/>
      <c r="V9" s="96">
        <f>U9/T9</f>
        <v>0</v>
      </c>
      <c r="W9" s="67">
        <f t="shared" si="0"/>
        <v>1200</v>
      </c>
      <c r="X9" s="67">
        <f t="shared" si="0"/>
        <v>200</v>
      </c>
      <c r="Y9" s="96">
        <f>X9/W9</f>
        <v>0.16666666666666666</v>
      </c>
      <c r="Z9" s="67">
        <v>200</v>
      </c>
      <c r="AA9" s="67"/>
      <c r="AB9" s="96">
        <f>AA9/Z9</f>
        <v>0</v>
      </c>
      <c r="AC9" s="67">
        <v>200</v>
      </c>
      <c r="AD9" s="67"/>
      <c r="AE9" s="96">
        <f>AD9/AC9</f>
        <v>0</v>
      </c>
      <c r="AF9" s="67">
        <v>200</v>
      </c>
      <c r="AG9" s="67"/>
      <c r="AH9" s="96">
        <f>AG9/AF9</f>
        <v>0</v>
      </c>
      <c r="AI9" s="67">
        <v>200</v>
      </c>
      <c r="AJ9" s="67"/>
      <c r="AK9" s="96">
        <f>AJ9/AI9</f>
        <v>0</v>
      </c>
      <c r="AL9" s="67">
        <v>200</v>
      </c>
      <c r="AM9" s="67"/>
      <c r="AN9" s="96">
        <f>AM9/AL9</f>
        <v>0</v>
      </c>
      <c r="AO9" s="67">
        <v>200</v>
      </c>
      <c r="AP9" s="67"/>
      <c r="AQ9" s="96">
        <f>AP9/AO9</f>
        <v>0</v>
      </c>
      <c r="AR9" s="67">
        <f>Z9+AC9+AF9+AI9+AL9+AO9</f>
        <v>1200</v>
      </c>
      <c r="AS9" s="67">
        <f>AA9+AD9+AG9+AJ9+AM9+AP9</f>
        <v>0</v>
      </c>
      <c r="AT9" s="96">
        <f>AS9/AR9</f>
        <v>0</v>
      </c>
      <c r="AU9" s="67">
        <f t="shared" si="1"/>
        <v>2400</v>
      </c>
      <c r="AV9" s="67">
        <f t="shared" si="1"/>
        <v>200</v>
      </c>
      <c r="AW9" s="101">
        <f>AV9/AU9</f>
        <v>8.3333333333333329E-2</v>
      </c>
      <c r="AX9" s="191"/>
      <c r="BA9" s="54"/>
    </row>
    <row r="10" spans="1:53" ht="80.25" customHeight="1" outlineLevel="1">
      <c r="B10" s="201" t="s">
        <v>2</v>
      </c>
      <c r="C10" s="202"/>
      <c r="D10" s="203"/>
      <c r="E10" s="76"/>
      <c r="F10" s="67">
        <v>60</v>
      </c>
      <c r="G10" s="96" t="e">
        <f>F10/E10</f>
        <v>#DIV/0!</v>
      </c>
      <c r="H10" s="72"/>
      <c r="I10" s="67">
        <v>0</v>
      </c>
      <c r="J10" s="96" t="e">
        <f>I10/H10</f>
        <v>#DIV/0!</v>
      </c>
      <c r="K10" s="67"/>
      <c r="L10" s="67">
        <v>30</v>
      </c>
      <c r="M10" s="96" t="e">
        <f>L10/K10</f>
        <v>#DIV/0!</v>
      </c>
      <c r="N10" s="67"/>
      <c r="O10" s="67"/>
      <c r="P10" s="96" t="e">
        <f>O10/N10</f>
        <v>#DIV/0!</v>
      </c>
      <c r="Q10" s="67"/>
      <c r="R10" s="67"/>
      <c r="S10" s="96" t="e">
        <f>R10/Q10</f>
        <v>#DIV/0!</v>
      </c>
      <c r="T10" s="67"/>
      <c r="U10" s="67"/>
      <c r="V10" s="96" t="e">
        <f>U10/T10</f>
        <v>#DIV/0!</v>
      </c>
      <c r="W10" s="67">
        <f t="shared" si="0"/>
        <v>0</v>
      </c>
      <c r="X10" s="67">
        <f t="shared" si="0"/>
        <v>90</v>
      </c>
      <c r="Y10" s="96" t="e">
        <f>X10/W10</f>
        <v>#DIV/0!</v>
      </c>
      <c r="Z10" s="67"/>
      <c r="AA10" s="67"/>
      <c r="AB10" s="96" t="e">
        <f>AA10/Z10</f>
        <v>#DIV/0!</v>
      </c>
      <c r="AC10" s="67"/>
      <c r="AD10" s="67"/>
      <c r="AE10" s="96" t="e">
        <f>AD10/AC10</f>
        <v>#DIV/0!</v>
      </c>
      <c r="AF10" s="67"/>
      <c r="AG10" s="67"/>
      <c r="AH10" s="96" t="e">
        <f>AG10/AF10</f>
        <v>#DIV/0!</v>
      </c>
      <c r="AI10" s="67"/>
      <c r="AJ10" s="67"/>
      <c r="AK10" s="96" t="e">
        <f>AJ10/AI10</f>
        <v>#DIV/0!</v>
      </c>
      <c r="AL10" s="67"/>
      <c r="AM10" s="67"/>
      <c r="AN10" s="96" t="e">
        <f>AM10/AL10</f>
        <v>#DIV/0!</v>
      </c>
      <c r="AO10" s="67"/>
      <c r="AP10" s="67"/>
      <c r="AQ10" s="96" t="e">
        <f>AP10/AO10</f>
        <v>#DIV/0!</v>
      </c>
      <c r="AR10" s="67">
        <f>Z10+AC10+AF10+AI10+AL10+AO10</f>
        <v>0</v>
      </c>
      <c r="AS10" s="67">
        <f>AA10+AD10+AG10+AJ10+AM10+AP10</f>
        <v>0</v>
      </c>
      <c r="AT10" s="96" t="e">
        <f>AS10/AR10</f>
        <v>#DIV/0!</v>
      </c>
      <c r="AU10" s="67">
        <f t="shared" si="1"/>
        <v>0</v>
      </c>
      <c r="AV10" s="67">
        <f t="shared" si="1"/>
        <v>90</v>
      </c>
      <c r="AW10" s="101" t="e">
        <f>AV10/AU10</f>
        <v>#DIV/0!</v>
      </c>
      <c r="BA10" s="54"/>
    </row>
    <row r="11" spans="1:53" ht="80.25" customHeight="1" outlineLevel="1">
      <c r="B11" s="201" t="s">
        <v>42</v>
      </c>
      <c r="C11" s="202"/>
      <c r="D11" s="203"/>
      <c r="E11" s="77"/>
      <c r="F11" s="67">
        <v>70</v>
      </c>
      <c r="G11" s="96" t="e">
        <f>F11/E11</f>
        <v>#DIV/0!</v>
      </c>
      <c r="H11" s="73"/>
      <c r="I11" s="71">
        <v>65</v>
      </c>
      <c r="J11" s="96" t="e">
        <f>I11/H11</f>
        <v>#DIV/0!</v>
      </c>
      <c r="K11" s="71"/>
      <c r="L11" s="71">
        <v>65</v>
      </c>
      <c r="M11" s="96" t="e">
        <f>L11/K11</f>
        <v>#DIV/0!</v>
      </c>
      <c r="N11" s="71"/>
      <c r="O11" s="71"/>
      <c r="P11" s="96" t="e">
        <f>O11/N11</f>
        <v>#DIV/0!</v>
      </c>
      <c r="Q11" s="71"/>
      <c r="R11" s="71"/>
      <c r="S11" s="96" t="e">
        <f>R11/Q11</f>
        <v>#DIV/0!</v>
      </c>
      <c r="T11" s="71"/>
      <c r="U11" s="71"/>
      <c r="V11" s="96" t="e">
        <f>U11/T11</f>
        <v>#DIV/0!</v>
      </c>
      <c r="W11" s="71"/>
      <c r="X11" s="71">
        <f>F11+I11+L11+O11+R11+U11</f>
        <v>200</v>
      </c>
      <c r="Y11" s="96" t="e">
        <f>X11/W11</f>
        <v>#DIV/0!</v>
      </c>
      <c r="Z11" s="71"/>
      <c r="AA11" s="71"/>
      <c r="AB11" s="96" t="e">
        <f>AA11/Z11</f>
        <v>#DIV/0!</v>
      </c>
      <c r="AC11" s="71"/>
      <c r="AD11" s="71"/>
      <c r="AE11" s="96" t="e">
        <f>AD11/AC11</f>
        <v>#DIV/0!</v>
      </c>
      <c r="AF11" s="71"/>
      <c r="AG11" s="71"/>
      <c r="AH11" s="96" t="e">
        <f>AG11/AF11</f>
        <v>#DIV/0!</v>
      </c>
      <c r="AI11" s="71"/>
      <c r="AJ11" s="71"/>
      <c r="AK11" s="96" t="e">
        <f>AJ11/AI11</f>
        <v>#DIV/0!</v>
      </c>
      <c r="AL11" s="71"/>
      <c r="AM11" s="71"/>
      <c r="AN11" s="96" t="e">
        <f>AM11/AL11</f>
        <v>#DIV/0!</v>
      </c>
      <c r="AO11" s="71"/>
      <c r="AP11" s="71"/>
      <c r="AQ11" s="96" t="e">
        <f>AP11/AO11</f>
        <v>#DIV/0!</v>
      </c>
      <c r="AR11" s="71"/>
      <c r="AS11" s="71">
        <f>AA11+AD11+AG11+AJ11+AM11+AP11</f>
        <v>0</v>
      </c>
      <c r="AT11" s="96" t="e">
        <f>AS11/AR11</f>
        <v>#DIV/0!</v>
      </c>
      <c r="AU11" s="71">
        <f t="shared" si="1"/>
        <v>0</v>
      </c>
      <c r="AV11" s="71">
        <f t="shared" si="1"/>
        <v>200</v>
      </c>
      <c r="AW11" s="101" t="e">
        <f>AV11/AU11</f>
        <v>#DIV/0!</v>
      </c>
      <c r="BA11" s="54"/>
    </row>
    <row r="12" spans="1:53" ht="80.25" customHeight="1">
      <c r="B12" s="241" t="s">
        <v>15</v>
      </c>
      <c r="C12" s="242"/>
      <c r="D12" s="243"/>
      <c r="E12" s="84">
        <f t="shared" ref="E12:R12" si="2">E8+E9+E10+E11</f>
        <v>1100</v>
      </c>
      <c r="F12" s="90">
        <f>F8+F9+F10+F11</f>
        <v>530</v>
      </c>
      <c r="G12" s="91">
        <f>F12/E12</f>
        <v>0.48181818181818181</v>
      </c>
      <c r="H12" s="85">
        <f t="shared" si="2"/>
        <v>1100</v>
      </c>
      <c r="I12" s="86">
        <f t="shared" si="2"/>
        <v>265</v>
      </c>
      <c r="J12" s="91">
        <f>I12/H12</f>
        <v>0.24090909090909091</v>
      </c>
      <c r="K12" s="86">
        <f t="shared" si="2"/>
        <v>1100</v>
      </c>
      <c r="L12" s="86">
        <f>L8+L9+L10+L11</f>
        <v>95</v>
      </c>
      <c r="M12" s="91">
        <f>L12/K12</f>
        <v>8.6363636363636365E-2</v>
      </c>
      <c r="N12" s="86">
        <f t="shared" si="2"/>
        <v>1100</v>
      </c>
      <c r="O12" s="86">
        <f t="shared" si="2"/>
        <v>0</v>
      </c>
      <c r="P12" s="91">
        <f>O12/N12</f>
        <v>0</v>
      </c>
      <c r="Q12" s="86">
        <f t="shared" si="2"/>
        <v>1100</v>
      </c>
      <c r="R12" s="86">
        <f t="shared" si="2"/>
        <v>0</v>
      </c>
      <c r="S12" s="91">
        <f>R12/Q12</f>
        <v>0</v>
      </c>
      <c r="T12" s="86">
        <f t="shared" ref="T12" si="3">T8+T9+T10</f>
        <v>1100</v>
      </c>
      <c r="U12" s="86">
        <f>U8+U9+U10</f>
        <v>0</v>
      </c>
      <c r="V12" s="91">
        <f>U12/T12</f>
        <v>0</v>
      </c>
      <c r="W12" s="86">
        <f t="shared" ref="W12:AV12" si="4">W8+W9+W10+W11</f>
        <v>6600</v>
      </c>
      <c r="X12" s="86">
        <f>X8+X9+X10+X11</f>
        <v>890</v>
      </c>
      <c r="Y12" s="96">
        <f>X12/W12</f>
        <v>0.13484848484848486</v>
      </c>
      <c r="Z12" s="86">
        <f t="shared" si="4"/>
        <v>1100</v>
      </c>
      <c r="AA12" s="86">
        <f t="shared" si="4"/>
        <v>0</v>
      </c>
      <c r="AB12" s="91">
        <f>AA12/Z12</f>
        <v>0</v>
      </c>
      <c r="AC12" s="86">
        <f t="shared" si="4"/>
        <v>1100</v>
      </c>
      <c r="AD12" s="86">
        <f t="shared" si="4"/>
        <v>0</v>
      </c>
      <c r="AE12" s="91">
        <f>AD12/AC12</f>
        <v>0</v>
      </c>
      <c r="AF12" s="86">
        <f t="shared" si="4"/>
        <v>1100</v>
      </c>
      <c r="AG12" s="86">
        <f t="shared" si="4"/>
        <v>0</v>
      </c>
      <c r="AH12" s="91">
        <f>AG12/AF12</f>
        <v>0</v>
      </c>
      <c r="AI12" s="86">
        <f t="shared" si="4"/>
        <v>1100</v>
      </c>
      <c r="AJ12" s="86">
        <f t="shared" si="4"/>
        <v>0</v>
      </c>
      <c r="AK12" s="91">
        <f>AJ12/AI12</f>
        <v>0</v>
      </c>
      <c r="AL12" s="86">
        <f t="shared" si="4"/>
        <v>1100</v>
      </c>
      <c r="AM12" s="86">
        <f t="shared" si="4"/>
        <v>0</v>
      </c>
      <c r="AN12" s="91">
        <f>AM12/AL12</f>
        <v>0</v>
      </c>
      <c r="AO12" s="86">
        <f t="shared" si="4"/>
        <v>1100</v>
      </c>
      <c r="AP12" s="86">
        <f t="shared" si="4"/>
        <v>0</v>
      </c>
      <c r="AQ12" s="91">
        <f>AP12/AO12</f>
        <v>0</v>
      </c>
      <c r="AR12" s="86">
        <f t="shared" si="4"/>
        <v>6600</v>
      </c>
      <c r="AS12" s="86">
        <f>AS8+AS9+AS10+AS11</f>
        <v>0</v>
      </c>
      <c r="AT12" s="96">
        <f>AS12/AR12</f>
        <v>0</v>
      </c>
      <c r="AU12" s="86">
        <f t="shared" si="4"/>
        <v>13200</v>
      </c>
      <c r="AV12" s="86">
        <f t="shared" si="4"/>
        <v>890</v>
      </c>
      <c r="AW12" s="101">
        <f>AV12/AU12</f>
        <v>6.7424242424242428E-2</v>
      </c>
      <c r="AX12" s="191"/>
      <c r="AY12" s="191"/>
      <c r="BA12" s="54"/>
    </row>
    <row r="13" spans="1:53" ht="80.25" customHeight="1" outlineLevel="1">
      <c r="B13" s="244" t="s">
        <v>8</v>
      </c>
      <c r="C13" s="245"/>
      <c r="D13" s="246"/>
      <c r="E13" s="106" t="s">
        <v>5</v>
      </c>
      <c r="F13" s="107" t="s">
        <v>4</v>
      </c>
      <c r="G13" s="108" t="s">
        <v>56</v>
      </c>
      <c r="H13" s="109" t="s">
        <v>5</v>
      </c>
      <c r="I13" s="110" t="s">
        <v>4</v>
      </c>
      <c r="J13" s="108" t="s">
        <v>56</v>
      </c>
      <c r="K13" s="110" t="s">
        <v>5</v>
      </c>
      <c r="L13" s="110" t="s">
        <v>4</v>
      </c>
      <c r="M13" s="108" t="s">
        <v>56</v>
      </c>
      <c r="N13" s="110" t="s">
        <v>5</v>
      </c>
      <c r="O13" s="110" t="s">
        <v>4</v>
      </c>
      <c r="P13" s="108" t="s">
        <v>56</v>
      </c>
      <c r="Q13" s="110" t="s">
        <v>5</v>
      </c>
      <c r="R13" s="110" t="s">
        <v>4</v>
      </c>
      <c r="S13" s="108" t="s">
        <v>56</v>
      </c>
      <c r="T13" s="110" t="s">
        <v>5</v>
      </c>
      <c r="U13" s="110" t="s">
        <v>4</v>
      </c>
      <c r="V13" s="108" t="s">
        <v>56</v>
      </c>
      <c r="W13" s="110" t="s">
        <v>5</v>
      </c>
      <c r="X13" s="110" t="s">
        <v>4</v>
      </c>
      <c r="Y13" s="108" t="s">
        <v>56</v>
      </c>
      <c r="Z13" s="110" t="s">
        <v>5</v>
      </c>
      <c r="AA13" s="110" t="s">
        <v>4</v>
      </c>
      <c r="AB13" s="108" t="s">
        <v>56</v>
      </c>
      <c r="AC13" s="110" t="s">
        <v>5</v>
      </c>
      <c r="AD13" s="110" t="s">
        <v>4</v>
      </c>
      <c r="AE13" s="108" t="s">
        <v>56</v>
      </c>
      <c r="AF13" s="110" t="s">
        <v>5</v>
      </c>
      <c r="AG13" s="110" t="s">
        <v>4</v>
      </c>
      <c r="AH13" s="108" t="s">
        <v>56</v>
      </c>
      <c r="AI13" s="110" t="s">
        <v>5</v>
      </c>
      <c r="AJ13" s="110" t="s">
        <v>4</v>
      </c>
      <c r="AK13" s="108" t="s">
        <v>56</v>
      </c>
      <c r="AL13" s="110" t="s">
        <v>5</v>
      </c>
      <c r="AM13" s="110" t="s">
        <v>4</v>
      </c>
      <c r="AN13" s="108" t="s">
        <v>56</v>
      </c>
      <c r="AO13" s="110" t="s">
        <v>5</v>
      </c>
      <c r="AP13" s="110" t="s">
        <v>4</v>
      </c>
      <c r="AQ13" s="108" t="s">
        <v>56</v>
      </c>
      <c r="AR13" s="110" t="s">
        <v>5</v>
      </c>
      <c r="AS13" s="110" t="s">
        <v>4</v>
      </c>
      <c r="AT13" s="108" t="s">
        <v>56</v>
      </c>
      <c r="AU13" s="110" t="s">
        <v>5</v>
      </c>
      <c r="AV13" s="110" t="s">
        <v>4</v>
      </c>
      <c r="AW13" s="108" t="s">
        <v>56</v>
      </c>
      <c r="BA13" s="54"/>
    </row>
    <row r="14" spans="1:53" ht="80.25" customHeight="1">
      <c r="B14" s="207" t="s">
        <v>7</v>
      </c>
      <c r="C14" s="208"/>
      <c r="D14" s="209"/>
      <c r="E14" s="79">
        <v>0</v>
      </c>
      <c r="F14" s="70">
        <v>90</v>
      </c>
      <c r="G14" s="96" t="e">
        <f>F14/E14</f>
        <v>#DIV/0!</v>
      </c>
      <c r="H14" s="75">
        <v>400</v>
      </c>
      <c r="I14" s="70">
        <v>146.5</v>
      </c>
      <c r="J14" s="96">
        <f>I14/H14</f>
        <v>0.36625000000000002</v>
      </c>
      <c r="K14" s="70">
        <v>0</v>
      </c>
      <c r="L14" s="70">
        <v>65</v>
      </c>
      <c r="M14" s="96" t="e">
        <f>L14/K14</f>
        <v>#DIV/0!</v>
      </c>
      <c r="N14" s="70">
        <v>400</v>
      </c>
      <c r="O14" s="70"/>
      <c r="P14" s="96">
        <f>O14/N14</f>
        <v>0</v>
      </c>
      <c r="Q14" s="70">
        <v>0</v>
      </c>
      <c r="R14" s="70"/>
      <c r="S14" s="96" t="e">
        <f>R14/Q14</f>
        <v>#DIV/0!</v>
      </c>
      <c r="T14" s="70">
        <v>400</v>
      </c>
      <c r="U14" s="70"/>
      <c r="V14" s="96">
        <f>U14/T14</f>
        <v>0</v>
      </c>
      <c r="W14" s="70">
        <f t="shared" ref="W14:X16" si="5">E14+H14+K14+N14+Q14+T14</f>
        <v>1200</v>
      </c>
      <c r="X14" s="70">
        <f t="shared" si="5"/>
        <v>301.5</v>
      </c>
      <c r="Y14" s="96">
        <f>X14/W14</f>
        <v>0.25124999999999997</v>
      </c>
      <c r="Z14" s="70">
        <v>0</v>
      </c>
      <c r="AA14" s="70"/>
      <c r="AB14" s="96" t="e">
        <f>AA14/Z14</f>
        <v>#DIV/0!</v>
      </c>
      <c r="AC14" s="70">
        <v>400</v>
      </c>
      <c r="AD14" s="70"/>
      <c r="AE14" s="96">
        <f>AD14/AC14</f>
        <v>0</v>
      </c>
      <c r="AF14" s="70">
        <v>0</v>
      </c>
      <c r="AG14" s="70"/>
      <c r="AH14" s="96" t="e">
        <f>AG14/AF14</f>
        <v>#DIV/0!</v>
      </c>
      <c r="AI14" s="70">
        <v>400</v>
      </c>
      <c r="AJ14" s="70"/>
      <c r="AK14" s="96">
        <f>AJ14/AI14</f>
        <v>0</v>
      </c>
      <c r="AL14" s="70">
        <v>0</v>
      </c>
      <c r="AM14" s="70"/>
      <c r="AN14" s="96" t="e">
        <f>AM14/AL14</f>
        <v>#DIV/0!</v>
      </c>
      <c r="AO14" s="70">
        <v>400</v>
      </c>
      <c r="AP14" s="70"/>
      <c r="AQ14" s="96">
        <f>AP14/AO14</f>
        <v>0</v>
      </c>
      <c r="AR14" s="70">
        <f t="shared" ref="AR14:AS16" si="6">Z14+AC14+AF14+AI14+AL14+AO14</f>
        <v>1200</v>
      </c>
      <c r="AS14" s="70">
        <f t="shared" si="6"/>
        <v>0</v>
      </c>
      <c r="AT14" s="96">
        <f>AS14/AR14</f>
        <v>0</v>
      </c>
      <c r="AU14" s="70">
        <f t="shared" ref="AU14:AV16" si="7">W14+AR14</f>
        <v>2400</v>
      </c>
      <c r="AV14" s="70">
        <f t="shared" si="7"/>
        <v>301.5</v>
      </c>
      <c r="AW14" s="101">
        <f>AV14/AU14</f>
        <v>0.12562499999999999</v>
      </c>
      <c r="AX14" s="191"/>
      <c r="BA14" s="54"/>
    </row>
    <row r="15" spans="1:53" ht="80.25" customHeight="1">
      <c r="B15" s="201" t="s">
        <v>1</v>
      </c>
      <c r="C15" s="202"/>
      <c r="D15" s="203"/>
      <c r="E15" s="76">
        <v>0</v>
      </c>
      <c r="F15" s="67"/>
      <c r="G15" s="96" t="e">
        <f>F15/E15</f>
        <v>#DIV/0!</v>
      </c>
      <c r="H15" s="72">
        <v>0</v>
      </c>
      <c r="I15" s="67">
        <v>0</v>
      </c>
      <c r="J15" s="96" t="e">
        <f>I15/H15</f>
        <v>#DIV/0!</v>
      </c>
      <c r="K15" s="67">
        <v>0</v>
      </c>
      <c r="L15" s="67"/>
      <c r="M15" s="96" t="e">
        <f>L15/K15</f>
        <v>#DIV/0!</v>
      </c>
      <c r="N15" s="67">
        <v>0</v>
      </c>
      <c r="O15" s="67"/>
      <c r="P15" s="96" t="e">
        <f>O15/N15</f>
        <v>#DIV/0!</v>
      </c>
      <c r="Q15" s="67">
        <v>0</v>
      </c>
      <c r="R15" s="67"/>
      <c r="S15" s="96" t="e">
        <f>R15/Q15</f>
        <v>#DIV/0!</v>
      </c>
      <c r="T15" s="67">
        <v>0</v>
      </c>
      <c r="U15" s="67"/>
      <c r="V15" s="96" t="e">
        <f>U15/T15</f>
        <v>#DIV/0!</v>
      </c>
      <c r="W15" s="67">
        <f t="shared" si="5"/>
        <v>0</v>
      </c>
      <c r="X15" s="67">
        <f t="shared" si="5"/>
        <v>0</v>
      </c>
      <c r="Y15" s="96" t="e">
        <f>X15/W15</f>
        <v>#DIV/0!</v>
      </c>
      <c r="Z15" s="67">
        <v>0</v>
      </c>
      <c r="AA15" s="67"/>
      <c r="AB15" s="96" t="e">
        <f>AA15/Z15</f>
        <v>#DIV/0!</v>
      </c>
      <c r="AC15" s="67">
        <v>0</v>
      </c>
      <c r="AD15" s="67"/>
      <c r="AE15" s="96" t="e">
        <f>AD15/AC15</f>
        <v>#DIV/0!</v>
      </c>
      <c r="AF15" s="67">
        <v>0</v>
      </c>
      <c r="AG15" s="67"/>
      <c r="AH15" s="96" t="e">
        <f>AG15/AF15</f>
        <v>#DIV/0!</v>
      </c>
      <c r="AI15" s="67">
        <v>0</v>
      </c>
      <c r="AJ15" s="67"/>
      <c r="AK15" s="96" t="e">
        <f>AJ15/AI15</f>
        <v>#DIV/0!</v>
      </c>
      <c r="AL15" s="67">
        <v>0</v>
      </c>
      <c r="AM15" s="67"/>
      <c r="AN15" s="96" t="e">
        <f>AM15/AL15</f>
        <v>#DIV/0!</v>
      </c>
      <c r="AO15" s="67">
        <v>0</v>
      </c>
      <c r="AP15" s="67"/>
      <c r="AQ15" s="96" t="e">
        <f>AP15/AO15</f>
        <v>#DIV/0!</v>
      </c>
      <c r="AR15" s="67">
        <f t="shared" si="6"/>
        <v>0</v>
      </c>
      <c r="AS15" s="67">
        <f t="shared" si="6"/>
        <v>0</v>
      </c>
      <c r="AT15" s="96" t="e">
        <f>AS15/AR15</f>
        <v>#DIV/0!</v>
      </c>
      <c r="AU15" s="67">
        <f t="shared" si="7"/>
        <v>0</v>
      </c>
      <c r="AV15" s="67">
        <f t="shared" si="7"/>
        <v>0</v>
      </c>
      <c r="AW15" s="101" t="e">
        <f>AV15/AU15</f>
        <v>#DIV/0!</v>
      </c>
      <c r="AX15" s="191"/>
      <c r="BA15" s="54"/>
    </row>
    <row r="16" spans="1:53" ht="80.25" customHeight="1">
      <c r="B16" s="201" t="s">
        <v>16</v>
      </c>
      <c r="C16" s="202"/>
      <c r="D16" s="203"/>
      <c r="E16" s="76">
        <v>0</v>
      </c>
      <c r="F16" s="67"/>
      <c r="G16" s="96" t="e">
        <f>F16/E16</f>
        <v>#DIV/0!</v>
      </c>
      <c r="H16" s="72">
        <v>0</v>
      </c>
      <c r="I16" s="67">
        <v>0</v>
      </c>
      <c r="J16" s="96" t="e">
        <f>I16/H16</f>
        <v>#DIV/0!</v>
      </c>
      <c r="K16" s="67">
        <v>0</v>
      </c>
      <c r="L16" s="67"/>
      <c r="M16" s="96" t="e">
        <f>L16/K16</f>
        <v>#DIV/0!</v>
      </c>
      <c r="N16" s="67">
        <v>0</v>
      </c>
      <c r="O16" s="67"/>
      <c r="P16" s="96" t="e">
        <f>O16/N16</f>
        <v>#DIV/0!</v>
      </c>
      <c r="Q16" s="67">
        <v>0</v>
      </c>
      <c r="R16" s="67"/>
      <c r="S16" s="96" t="e">
        <f>R16/Q16</f>
        <v>#DIV/0!</v>
      </c>
      <c r="T16" s="67">
        <v>0</v>
      </c>
      <c r="U16" s="67"/>
      <c r="V16" s="96" t="e">
        <f>U16/T16</f>
        <v>#DIV/0!</v>
      </c>
      <c r="W16" s="67">
        <f t="shared" si="5"/>
        <v>0</v>
      </c>
      <c r="X16" s="67">
        <f t="shared" si="5"/>
        <v>0</v>
      </c>
      <c r="Y16" s="96" t="e">
        <f>X16/W16</f>
        <v>#DIV/0!</v>
      </c>
      <c r="Z16" s="67">
        <v>0</v>
      </c>
      <c r="AA16" s="67"/>
      <c r="AB16" s="96" t="e">
        <f>AA16/Z16</f>
        <v>#DIV/0!</v>
      </c>
      <c r="AC16" s="67">
        <v>0</v>
      </c>
      <c r="AD16" s="67"/>
      <c r="AE16" s="96" t="e">
        <f>AD16/AC16</f>
        <v>#DIV/0!</v>
      </c>
      <c r="AF16" s="67">
        <v>0</v>
      </c>
      <c r="AG16" s="67"/>
      <c r="AH16" s="96" t="e">
        <f>AG16/AF16</f>
        <v>#DIV/0!</v>
      </c>
      <c r="AI16" s="67">
        <v>0</v>
      </c>
      <c r="AJ16" s="67"/>
      <c r="AK16" s="96" t="e">
        <f>AJ16/AI16</f>
        <v>#DIV/0!</v>
      </c>
      <c r="AL16" s="67">
        <v>0</v>
      </c>
      <c r="AM16" s="67"/>
      <c r="AN16" s="96" t="e">
        <f>AM16/AL16</f>
        <v>#DIV/0!</v>
      </c>
      <c r="AO16" s="67">
        <v>0</v>
      </c>
      <c r="AP16" s="67"/>
      <c r="AQ16" s="96" t="e">
        <f>AP16/AO16</f>
        <v>#DIV/0!</v>
      </c>
      <c r="AR16" s="67">
        <f t="shared" si="6"/>
        <v>0</v>
      </c>
      <c r="AS16" s="67">
        <f t="shared" si="6"/>
        <v>0</v>
      </c>
      <c r="AT16" s="96" t="e">
        <f>AS16/AR16</f>
        <v>#DIV/0!</v>
      </c>
      <c r="AU16" s="67">
        <f t="shared" si="7"/>
        <v>0</v>
      </c>
      <c r="AV16" s="67">
        <f t="shared" si="7"/>
        <v>0</v>
      </c>
      <c r="AW16" s="101" t="e">
        <f>AV16/AU16</f>
        <v>#DIV/0!</v>
      </c>
      <c r="AX16" s="191"/>
      <c r="BA16" s="54"/>
    </row>
    <row r="17" spans="1:59" ht="80.25" customHeight="1">
      <c r="B17" s="250" t="s">
        <v>15</v>
      </c>
      <c r="C17" s="251"/>
      <c r="D17" s="252"/>
      <c r="E17" s="84">
        <f t="shared" ref="E17:AV17" si="8">SUM(E14:E16)</f>
        <v>0</v>
      </c>
      <c r="F17" s="86">
        <f t="shared" si="8"/>
        <v>90</v>
      </c>
      <c r="G17" s="96" t="e">
        <f>F17/E17</f>
        <v>#DIV/0!</v>
      </c>
      <c r="H17" s="85">
        <f t="shared" si="8"/>
        <v>400</v>
      </c>
      <c r="I17" s="86">
        <f t="shared" si="8"/>
        <v>146.5</v>
      </c>
      <c r="J17" s="96">
        <f>I17/H17</f>
        <v>0.36625000000000002</v>
      </c>
      <c r="K17" s="86">
        <f t="shared" si="8"/>
        <v>0</v>
      </c>
      <c r="L17" s="86">
        <f t="shared" si="8"/>
        <v>65</v>
      </c>
      <c r="M17" s="96" t="e">
        <f>L17/K17</f>
        <v>#DIV/0!</v>
      </c>
      <c r="N17" s="86">
        <f t="shared" si="8"/>
        <v>400</v>
      </c>
      <c r="O17" s="86">
        <f t="shared" si="8"/>
        <v>0</v>
      </c>
      <c r="P17" s="96">
        <f>O17/N17</f>
        <v>0</v>
      </c>
      <c r="Q17" s="86">
        <f t="shared" si="8"/>
        <v>0</v>
      </c>
      <c r="R17" s="86">
        <f t="shared" si="8"/>
        <v>0</v>
      </c>
      <c r="S17" s="96" t="e">
        <f>R17/Q17</f>
        <v>#DIV/0!</v>
      </c>
      <c r="T17" s="86">
        <f t="shared" si="8"/>
        <v>400</v>
      </c>
      <c r="U17" s="86">
        <f t="shared" si="8"/>
        <v>0</v>
      </c>
      <c r="V17" s="96">
        <f>U17/T17</f>
        <v>0</v>
      </c>
      <c r="W17" s="86">
        <f t="shared" si="8"/>
        <v>1200</v>
      </c>
      <c r="X17" s="86">
        <f t="shared" si="8"/>
        <v>301.5</v>
      </c>
      <c r="Y17" s="96">
        <f>X17/W17</f>
        <v>0.25124999999999997</v>
      </c>
      <c r="Z17" s="86">
        <f t="shared" si="8"/>
        <v>0</v>
      </c>
      <c r="AA17" s="86">
        <f t="shared" si="8"/>
        <v>0</v>
      </c>
      <c r="AB17" s="96" t="e">
        <f>AA17/Z17</f>
        <v>#DIV/0!</v>
      </c>
      <c r="AC17" s="86">
        <f t="shared" si="8"/>
        <v>400</v>
      </c>
      <c r="AD17" s="86">
        <f t="shared" si="8"/>
        <v>0</v>
      </c>
      <c r="AE17" s="96">
        <f>AD17/AC17</f>
        <v>0</v>
      </c>
      <c r="AF17" s="86">
        <f t="shared" si="8"/>
        <v>0</v>
      </c>
      <c r="AG17" s="86">
        <f t="shared" si="8"/>
        <v>0</v>
      </c>
      <c r="AH17" s="96" t="e">
        <f>AG17/AF17</f>
        <v>#DIV/0!</v>
      </c>
      <c r="AI17" s="86">
        <f t="shared" si="8"/>
        <v>400</v>
      </c>
      <c r="AJ17" s="86">
        <f t="shared" si="8"/>
        <v>0</v>
      </c>
      <c r="AK17" s="96">
        <f>AJ17/AI17</f>
        <v>0</v>
      </c>
      <c r="AL17" s="86">
        <f t="shared" si="8"/>
        <v>0</v>
      </c>
      <c r="AM17" s="86">
        <f t="shared" si="8"/>
        <v>0</v>
      </c>
      <c r="AN17" s="96" t="e">
        <f>AM17/AL17</f>
        <v>#DIV/0!</v>
      </c>
      <c r="AO17" s="86">
        <f t="shared" si="8"/>
        <v>400</v>
      </c>
      <c r="AP17" s="86">
        <f t="shared" si="8"/>
        <v>0</v>
      </c>
      <c r="AQ17" s="96">
        <f>AP17/AO17</f>
        <v>0</v>
      </c>
      <c r="AR17" s="86">
        <f t="shared" si="8"/>
        <v>1200</v>
      </c>
      <c r="AS17" s="86">
        <f t="shared" si="8"/>
        <v>0</v>
      </c>
      <c r="AT17" s="96">
        <f>AS17/AR17</f>
        <v>0</v>
      </c>
      <c r="AU17" s="86">
        <f t="shared" si="8"/>
        <v>2400</v>
      </c>
      <c r="AV17" s="86">
        <f t="shared" si="8"/>
        <v>301.5</v>
      </c>
      <c r="AW17" s="101">
        <f>AV17/AU17</f>
        <v>0.12562499999999999</v>
      </c>
      <c r="AX17" s="65"/>
      <c r="AY17" s="65"/>
      <c r="BA17" s="54"/>
    </row>
    <row r="18" spans="1:59" ht="80.25" customHeight="1">
      <c r="B18" s="224" t="s">
        <v>17</v>
      </c>
      <c r="C18" s="225"/>
      <c r="D18" s="226"/>
      <c r="E18" s="112" t="s">
        <v>5</v>
      </c>
      <c r="F18" s="113" t="s">
        <v>4</v>
      </c>
      <c r="G18" s="114" t="s">
        <v>56</v>
      </c>
      <c r="H18" s="115" t="s">
        <v>5</v>
      </c>
      <c r="I18" s="116" t="s">
        <v>4</v>
      </c>
      <c r="J18" s="114" t="s">
        <v>56</v>
      </c>
      <c r="K18" s="116" t="s">
        <v>5</v>
      </c>
      <c r="L18" s="116" t="s">
        <v>4</v>
      </c>
      <c r="M18" s="114" t="s">
        <v>56</v>
      </c>
      <c r="N18" s="116" t="s">
        <v>5</v>
      </c>
      <c r="O18" s="116" t="s">
        <v>4</v>
      </c>
      <c r="P18" s="114" t="s">
        <v>56</v>
      </c>
      <c r="Q18" s="116" t="s">
        <v>5</v>
      </c>
      <c r="R18" s="116" t="s">
        <v>4</v>
      </c>
      <c r="S18" s="114" t="s">
        <v>56</v>
      </c>
      <c r="T18" s="116" t="s">
        <v>5</v>
      </c>
      <c r="U18" s="116" t="s">
        <v>4</v>
      </c>
      <c r="V18" s="114" t="s">
        <v>56</v>
      </c>
      <c r="W18" s="116" t="s">
        <v>5</v>
      </c>
      <c r="X18" s="116" t="s">
        <v>4</v>
      </c>
      <c r="Y18" s="114" t="s">
        <v>56</v>
      </c>
      <c r="Z18" s="116" t="s">
        <v>5</v>
      </c>
      <c r="AA18" s="116" t="s">
        <v>4</v>
      </c>
      <c r="AB18" s="114" t="s">
        <v>56</v>
      </c>
      <c r="AC18" s="116" t="s">
        <v>5</v>
      </c>
      <c r="AD18" s="116" t="s">
        <v>4</v>
      </c>
      <c r="AE18" s="114" t="s">
        <v>56</v>
      </c>
      <c r="AF18" s="116" t="s">
        <v>5</v>
      </c>
      <c r="AG18" s="116" t="s">
        <v>4</v>
      </c>
      <c r="AH18" s="114" t="s">
        <v>56</v>
      </c>
      <c r="AI18" s="116" t="s">
        <v>5</v>
      </c>
      <c r="AJ18" s="116" t="s">
        <v>4</v>
      </c>
      <c r="AK18" s="114" t="s">
        <v>56</v>
      </c>
      <c r="AL18" s="116" t="s">
        <v>5</v>
      </c>
      <c r="AM18" s="116" t="s">
        <v>4</v>
      </c>
      <c r="AN18" s="114" t="s">
        <v>56</v>
      </c>
      <c r="AO18" s="116" t="s">
        <v>5</v>
      </c>
      <c r="AP18" s="116" t="s">
        <v>4</v>
      </c>
      <c r="AQ18" s="114" t="s">
        <v>56</v>
      </c>
      <c r="AR18" s="116" t="s">
        <v>5</v>
      </c>
      <c r="AS18" s="116" t="s">
        <v>4</v>
      </c>
      <c r="AT18" s="114" t="s">
        <v>56</v>
      </c>
      <c r="AU18" s="116" t="s">
        <v>5</v>
      </c>
      <c r="AV18" s="116" t="s">
        <v>4</v>
      </c>
      <c r="AW18" s="114" t="s">
        <v>56</v>
      </c>
      <c r="AX18" s="65"/>
      <c r="AY18" s="65"/>
      <c r="BA18" s="54"/>
    </row>
    <row r="19" spans="1:59" ht="80.25" customHeight="1">
      <c r="B19" s="227" t="s">
        <v>40</v>
      </c>
      <c r="C19" s="228"/>
      <c r="D19" s="229"/>
      <c r="E19" s="76"/>
      <c r="F19" s="67"/>
      <c r="G19" s="96" t="e">
        <f>F19/E19</f>
        <v>#DIV/0!</v>
      </c>
      <c r="H19" s="72"/>
      <c r="I19" s="67">
        <v>400</v>
      </c>
      <c r="J19" s="96" t="e">
        <f>I19/H19</f>
        <v>#DIV/0!</v>
      </c>
      <c r="K19" s="67"/>
      <c r="L19" s="67">
        <v>800</v>
      </c>
      <c r="M19" s="96" t="e">
        <f>L19/K19</f>
        <v>#DIV/0!</v>
      </c>
      <c r="N19" s="67"/>
      <c r="O19" s="67"/>
      <c r="P19" s="96" t="e">
        <f>O19/N19</f>
        <v>#DIV/0!</v>
      </c>
      <c r="Q19" s="67"/>
      <c r="R19" s="67"/>
      <c r="S19" s="96" t="e">
        <f>R19/Q19</f>
        <v>#DIV/0!</v>
      </c>
      <c r="T19" s="67"/>
      <c r="U19" s="67"/>
      <c r="V19" s="96" t="e">
        <f>U19/T19</f>
        <v>#DIV/0!</v>
      </c>
      <c r="W19" s="67">
        <f t="shared" ref="W19:X22" si="9">E19+H19+K19+N19+Q19+T19</f>
        <v>0</v>
      </c>
      <c r="X19" s="67">
        <f t="shared" si="9"/>
        <v>1200</v>
      </c>
      <c r="Y19" s="96" t="e">
        <f>X19/W19</f>
        <v>#DIV/0!</v>
      </c>
      <c r="Z19" s="67"/>
      <c r="AA19" s="67"/>
      <c r="AB19" s="96" t="e">
        <f>AA19/Z19</f>
        <v>#DIV/0!</v>
      </c>
      <c r="AC19" s="67"/>
      <c r="AD19" s="67"/>
      <c r="AE19" s="96" t="e">
        <f>AD19/AC19</f>
        <v>#DIV/0!</v>
      </c>
      <c r="AF19" s="67"/>
      <c r="AG19" s="67"/>
      <c r="AH19" s="96" t="e">
        <f>AG19/AF19</f>
        <v>#DIV/0!</v>
      </c>
      <c r="AI19" s="67"/>
      <c r="AJ19" s="67"/>
      <c r="AK19" s="96" t="e">
        <f>AJ19/AI19</f>
        <v>#DIV/0!</v>
      </c>
      <c r="AL19" s="67"/>
      <c r="AM19" s="67"/>
      <c r="AN19" s="96" t="e">
        <f>AM19/AL19</f>
        <v>#DIV/0!</v>
      </c>
      <c r="AO19" s="67"/>
      <c r="AP19" s="67"/>
      <c r="AQ19" s="96" t="e">
        <f>AP19/AO19</f>
        <v>#DIV/0!</v>
      </c>
      <c r="AR19" s="67">
        <f t="shared" ref="AR19:AS22" si="10">Z19+AC19+AF19+AI19+AL19+AO19</f>
        <v>0</v>
      </c>
      <c r="AS19" s="67">
        <f t="shared" si="10"/>
        <v>0</v>
      </c>
      <c r="AT19" s="96" t="e">
        <f>AS19/AR19</f>
        <v>#DIV/0!</v>
      </c>
      <c r="AU19" s="67">
        <f t="shared" ref="AU19:AV22" si="11">W19+AR19</f>
        <v>0</v>
      </c>
      <c r="AV19" s="67">
        <f t="shared" si="11"/>
        <v>1200</v>
      </c>
      <c r="AW19" s="101" t="e">
        <f>AV19/AU19</f>
        <v>#DIV/0!</v>
      </c>
      <c r="AX19" s="65"/>
      <c r="AY19" s="65"/>
      <c r="BA19" s="54"/>
    </row>
    <row r="20" spans="1:59" ht="80.25" customHeight="1">
      <c r="B20" s="207" t="s">
        <v>41</v>
      </c>
      <c r="C20" s="208"/>
      <c r="D20" s="209"/>
      <c r="E20" s="79">
        <v>3000</v>
      </c>
      <c r="F20" s="67">
        <v>800</v>
      </c>
      <c r="G20" s="96">
        <f>F20/E20</f>
        <v>0.26666666666666666</v>
      </c>
      <c r="H20" s="75">
        <v>3000</v>
      </c>
      <c r="I20" s="67">
        <v>2400</v>
      </c>
      <c r="J20" s="96">
        <f>I20/H20</f>
        <v>0.8</v>
      </c>
      <c r="K20" s="70">
        <v>3000</v>
      </c>
      <c r="L20" s="67">
        <v>2400</v>
      </c>
      <c r="M20" s="96">
        <f>L20/K20</f>
        <v>0.8</v>
      </c>
      <c r="N20" s="70">
        <v>3000</v>
      </c>
      <c r="O20" s="69"/>
      <c r="P20" s="96">
        <f>O20/N20</f>
        <v>0</v>
      </c>
      <c r="Q20" s="70">
        <v>3000</v>
      </c>
      <c r="R20" s="67"/>
      <c r="S20" s="96">
        <f>R20/Q20</f>
        <v>0</v>
      </c>
      <c r="T20" s="70">
        <v>3000</v>
      </c>
      <c r="U20" s="67"/>
      <c r="V20" s="96">
        <f>U20/T20</f>
        <v>0</v>
      </c>
      <c r="W20" s="67">
        <f t="shared" si="9"/>
        <v>18000</v>
      </c>
      <c r="X20" s="67">
        <f t="shared" si="9"/>
        <v>5600</v>
      </c>
      <c r="Y20" s="96">
        <f>X20/W20</f>
        <v>0.31111111111111112</v>
      </c>
      <c r="Z20" s="70">
        <v>3000</v>
      </c>
      <c r="AA20" s="67"/>
      <c r="AB20" s="96">
        <f>AA20/Z20</f>
        <v>0</v>
      </c>
      <c r="AC20" s="70">
        <v>3000</v>
      </c>
      <c r="AD20" s="67"/>
      <c r="AE20" s="96">
        <f>AD20/AC20</f>
        <v>0</v>
      </c>
      <c r="AF20" s="70">
        <v>3000</v>
      </c>
      <c r="AG20" s="67"/>
      <c r="AH20" s="96">
        <f>AG20/AF20</f>
        <v>0</v>
      </c>
      <c r="AI20" s="70">
        <v>3000</v>
      </c>
      <c r="AJ20" s="67"/>
      <c r="AK20" s="96">
        <f>AJ20/AI20</f>
        <v>0</v>
      </c>
      <c r="AL20" s="70">
        <v>3000</v>
      </c>
      <c r="AM20" s="67"/>
      <c r="AN20" s="96">
        <f>AM20/AL20</f>
        <v>0</v>
      </c>
      <c r="AO20" s="70">
        <v>3000</v>
      </c>
      <c r="AP20" s="67"/>
      <c r="AQ20" s="96">
        <f>AP20/AO20</f>
        <v>0</v>
      </c>
      <c r="AR20" s="67">
        <f t="shared" si="10"/>
        <v>18000</v>
      </c>
      <c r="AS20" s="67">
        <f t="shared" si="10"/>
        <v>0</v>
      </c>
      <c r="AT20" s="96">
        <f>AS20/AR20</f>
        <v>0</v>
      </c>
      <c r="AU20" s="67">
        <f t="shared" si="11"/>
        <v>36000</v>
      </c>
      <c r="AV20" s="67">
        <f t="shared" si="11"/>
        <v>5600</v>
      </c>
      <c r="AW20" s="101">
        <f>AV20/AU20</f>
        <v>0.15555555555555556</v>
      </c>
      <c r="AX20" s="65"/>
      <c r="AY20" s="65"/>
      <c r="BA20" s="54"/>
    </row>
    <row r="21" spans="1:59" ht="80.25" customHeight="1">
      <c r="B21" s="201" t="s">
        <v>38</v>
      </c>
      <c r="C21" s="202"/>
      <c r="D21" s="203"/>
      <c r="E21" s="76"/>
      <c r="F21" s="67">
        <v>720</v>
      </c>
      <c r="G21" s="96" t="e">
        <f>F21/E21</f>
        <v>#DIV/0!</v>
      </c>
      <c r="H21" s="72"/>
      <c r="I21" s="67">
        <v>390</v>
      </c>
      <c r="J21" s="96" t="e">
        <f>I21/H21</f>
        <v>#DIV/0!</v>
      </c>
      <c r="K21" s="67"/>
      <c r="L21" s="67">
        <v>450</v>
      </c>
      <c r="M21" s="96" t="e">
        <f>L21/K21</f>
        <v>#DIV/0!</v>
      </c>
      <c r="N21" s="67"/>
      <c r="O21" s="67"/>
      <c r="P21" s="96" t="e">
        <f>O21/N21</f>
        <v>#DIV/0!</v>
      </c>
      <c r="Q21" s="67"/>
      <c r="R21" s="67"/>
      <c r="S21" s="96" t="e">
        <f>R21/Q21</f>
        <v>#DIV/0!</v>
      </c>
      <c r="T21" s="67"/>
      <c r="U21" s="67"/>
      <c r="V21" s="96" t="e">
        <f>U21/T21</f>
        <v>#DIV/0!</v>
      </c>
      <c r="W21" s="67">
        <f t="shared" si="9"/>
        <v>0</v>
      </c>
      <c r="X21" s="67">
        <f t="shared" si="9"/>
        <v>1560</v>
      </c>
      <c r="Y21" s="96" t="e">
        <f>X21/W21</f>
        <v>#DIV/0!</v>
      </c>
      <c r="Z21" s="67"/>
      <c r="AA21" s="67"/>
      <c r="AB21" s="96" t="e">
        <f>AA21/Z21</f>
        <v>#DIV/0!</v>
      </c>
      <c r="AC21" s="67"/>
      <c r="AD21" s="67"/>
      <c r="AE21" s="96" t="e">
        <f>AD21/AC21</f>
        <v>#DIV/0!</v>
      </c>
      <c r="AF21" s="67"/>
      <c r="AG21" s="67"/>
      <c r="AH21" s="96" t="e">
        <f>AG21/AF21</f>
        <v>#DIV/0!</v>
      </c>
      <c r="AI21" s="67"/>
      <c r="AJ21" s="67"/>
      <c r="AK21" s="96" t="e">
        <f>AJ21/AI21</f>
        <v>#DIV/0!</v>
      </c>
      <c r="AL21" s="67"/>
      <c r="AM21" s="67"/>
      <c r="AN21" s="96" t="e">
        <f>AM21/AL21</f>
        <v>#DIV/0!</v>
      </c>
      <c r="AO21" s="67"/>
      <c r="AP21" s="67"/>
      <c r="AQ21" s="96" t="e">
        <f>AP21/AO21</f>
        <v>#DIV/0!</v>
      </c>
      <c r="AR21" s="67">
        <f t="shared" si="10"/>
        <v>0</v>
      </c>
      <c r="AS21" s="67">
        <f t="shared" si="10"/>
        <v>0</v>
      </c>
      <c r="AT21" s="96" t="e">
        <f>AS21/AR21</f>
        <v>#DIV/0!</v>
      </c>
      <c r="AU21" s="67">
        <f t="shared" si="11"/>
        <v>0</v>
      </c>
      <c r="AV21" s="67">
        <f t="shared" si="11"/>
        <v>1560</v>
      </c>
      <c r="AW21" s="101" t="e">
        <f>AV21/AU21</f>
        <v>#DIV/0!</v>
      </c>
      <c r="AX21" s="65"/>
      <c r="AY21" s="65"/>
      <c r="BA21" s="54"/>
    </row>
    <row r="22" spans="1:59" ht="80.25" customHeight="1">
      <c r="B22" s="230" t="s">
        <v>37</v>
      </c>
      <c r="C22" s="231"/>
      <c r="D22" s="232"/>
      <c r="E22" s="76">
        <v>1500</v>
      </c>
      <c r="F22" s="67">
        <v>1550</v>
      </c>
      <c r="G22" s="96">
        <f>F22/E22</f>
        <v>1.0333333333333334</v>
      </c>
      <c r="H22" s="72">
        <v>1500</v>
      </c>
      <c r="I22" s="67">
        <v>1630</v>
      </c>
      <c r="J22" s="96">
        <f>I22/H22</f>
        <v>1.0866666666666667</v>
      </c>
      <c r="K22" s="67">
        <v>1500</v>
      </c>
      <c r="L22" s="67">
        <v>1760</v>
      </c>
      <c r="M22" s="96">
        <f>L22/K22</f>
        <v>1.1733333333333333</v>
      </c>
      <c r="N22" s="67">
        <v>1500</v>
      </c>
      <c r="O22" s="67"/>
      <c r="P22" s="96">
        <f>O22/N22</f>
        <v>0</v>
      </c>
      <c r="Q22" s="67">
        <v>1500</v>
      </c>
      <c r="R22" s="67"/>
      <c r="S22" s="96">
        <f>R22/Q22</f>
        <v>0</v>
      </c>
      <c r="T22" s="67">
        <v>1500</v>
      </c>
      <c r="U22" s="67"/>
      <c r="V22" s="96">
        <f>U22/T22</f>
        <v>0</v>
      </c>
      <c r="W22" s="67">
        <f t="shared" si="9"/>
        <v>9000</v>
      </c>
      <c r="X22" s="67">
        <f t="shared" si="9"/>
        <v>4940</v>
      </c>
      <c r="Y22" s="96">
        <f>X22/W22</f>
        <v>0.54888888888888887</v>
      </c>
      <c r="Z22" s="67">
        <v>1500</v>
      </c>
      <c r="AA22" s="67"/>
      <c r="AB22" s="96">
        <f>AA22/Z22</f>
        <v>0</v>
      </c>
      <c r="AC22" s="67">
        <v>1500</v>
      </c>
      <c r="AD22" s="67"/>
      <c r="AE22" s="96">
        <f>AD22/AC22</f>
        <v>0</v>
      </c>
      <c r="AF22" s="67">
        <v>1500</v>
      </c>
      <c r="AG22" s="67"/>
      <c r="AH22" s="96">
        <f>AG22/AF22</f>
        <v>0</v>
      </c>
      <c r="AI22" s="67">
        <v>1500</v>
      </c>
      <c r="AJ22" s="67"/>
      <c r="AK22" s="96">
        <f>AJ22/AI22</f>
        <v>0</v>
      </c>
      <c r="AL22" s="67">
        <v>1500</v>
      </c>
      <c r="AM22" s="67"/>
      <c r="AN22" s="96">
        <f>AM22/AL22</f>
        <v>0</v>
      </c>
      <c r="AO22" s="67">
        <v>1500</v>
      </c>
      <c r="AP22" s="67"/>
      <c r="AQ22" s="96">
        <f>AP22/AO22</f>
        <v>0</v>
      </c>
      <c r="AR22" s="67">
        <f t="shared" si="10"/>
        <v>9000</v>
      </c>
      <c r="AS22" s="67">
        <f t="shared" si="10"/>
        <v>0</v>
      </c>
      <c r="AT22" s="96">
        <f>AS22/AR22</f>
        <v>0</v>
      </c>
      <c r="AU22" s="67">
        <f t="shared" si="11"/>
        <v>18000</v>
      </c>
      <c r="AV22" s="67">
        <f t="shared" si="11"/>
        <v>4940</v>
      </c>
      <c r="AW22" s="101">
        <f>AV22/AU22</f>
        <v>0.27444444444444444</v>
      </c>
      <c r="AX22" s="65"/>
      <c r="AY22" s="65"/>
      <c r="BA22" s="54"/>
    </row>
    <row r="23" spans="1:59" ht="104" customHeight="1">
      <c r="B23" s="247" t="s">
        <v>15</v>
      </c>
      <c r="C23" s="248"/>
      <c r="D23" s="249"/>
      <c r="E23" s="102">
        <f>SUM(E19:E22)</f>
        <v>4500</v>
      </c>
      <c r="F23" s="94">
        <f t="shared" ref="F23:AV23" si="12">SUM(F19:F22)</f>
        <v>3070</v>
      </c>
      <c r="G23" s="91">
        <f>F23/E23</f>
        <v>0.68222222222222217</v>
      </c>
      <c r="H23" s="85">
        <f t="shared" si="12"/>
        <v>4500</v>
      </c>
      <c r="I23" s="86">
        <f t="shared" si="12"/>
        <v>4820</v>
      </c>
      <c r="J23" s="91">
        <f>I23/H23</f>
        <v>1.0711111111111111</v>
      </c>
      <c r="K23" s="86">
        <f t="shared" si="12"/>
        <v>4500</v>
      </c>
      <c r="L23" s="86">
        <f t="shared" si="12"/>
        <v>5410</v>
      </c>
      <c r="M23" s="91">
        <f>L23/K23</f>
        <v>1.2022222222222223</v>
      </c>
      <c r="N23" s="86">
        <f t="shared" si="12"/>
        <v>4500</v>
      </c>
      <c r="O23" s="90">
        <f t="shared" si="12"/>
        <v>0</v>
      </c>
      <c r="P23" s="91">
        <f>O23/N23</f>
        <v>0</v>
      </c>
      <c r="Q23" s="90">
        <f t="shared" si="12"/>
        <v>4500</v>
      </c>
      <c r="R23" s="86">
        <f t="shared" si="12"/>
        <v>0</v>
      </c>
      <c r="S23" s="91">
        <f>R23/Q23</f>
        <v>0</v>
      </c>
      <c r="T23" s="103">
        <f t="shared" si="12"/>
        <v>4500</v>
      </c>
      <c r="U23" s="86">
        <f t="shared" si="12"/>
        <v>0</v>
      </c>
      <c r="V23" s="91">
        <f>U23/T23</f>
        <v>0</v>
      </c>
      <c r="W23" s="85">
        <f t="shared" si="12"/>
        <v>27000</v>
      </c>
      <c r="X23" s="86">
        <f t="shared" si="12"/>
        <v>13300</v>
      </c>
      <c r="Y23" s="104">
        <f>X23/W23</f>
        <v>0.49259259259259258</v>
      </c>
      <c r="Z23" s="86">
        <f t="shared" si="12"/>
        <v>4500</v>
      </c>
      <c r="AA23" s="86">
        <f t="shared" si="12"/>
        <v>0</v>
      </c>
      <c r="AB23" s="91">
        <f>AA23/Z23</f>
        <v>0</v>
      </c>
      <c r="AC23" s="86">
        <f t="shared" si="12"/>
        <v>4500</v>
      </c>
      <c r="AD23" s="86">
        <f t="shared" si="12"/>
        <v>0</v>
      </c>
      <c r="AE23" s="91">
        <f>AD23/AC23</f>
        <v>0</v>
      </c>
      <c r="AF23" s="86">
        <f t="shared" si="12"/>
        <v>4500</v>
      </c>
      <c r="AG23" s="86">
        <f t="shared" si="12"/>
        <v>0</v>
      </c>
      <c r="AH23" s="91">
        <f>AG23/AF23</f>
        <v>0</v>
      </c>
      <c r="AI23" s="86">
        <f t="shared" si="12"/>
        <v>4500</v>
      </c>
      <c r="AJ23" s="86">
        <f t="shared" si="12"/>
        <v>0</v>
      </c>
      <c r="AK23" s="91">
        <f>AJ23/AI23</f>
        <v>0</v>
      </c>
      <c r="AL23" s="86">
        <f t="shared" si="12"/>
        <v>4500</v>
      </c>
      <c r="AM23" s="86">
        <f t="shared" si="12"/>
        <v>0</v>
      </c>
      <c r="AN23" s="91">
        <f>AM23/AL23</f>
        <v>0</v>
      </c>
      <c r="AO23" s="86">
        <f t="shared" si="12"/>
        <v>4500</v>
      </c>
      <c r="AP23" s="86">
        <f t="shared" si="12"/>
        <v>0</v>
      </c>
      <c r="AQ23" s="91">
        <f>AP23/AO23</f>
        <v>0</v>
      </c>
      <c r="AR23" s="86">
        <f>SUM(AR19:AR22)</f>
        <v>27000</v>
      </c>
      <c r="AS23" s="86">
        <f t="shared" ref="AS23" si="13">SUM(AS19:AS22)</f>
        <v>0</v>
      </c>
      <c r="AT23" s="104">
        <f>AS23/AR23</f>
        <v>0</v>
      </c>
      <c r="AU23" s="86">
        <f t="shared" si="12"/>
        <v>54000</v>
      </c>
      <c r="AV23" s="86">
        <f t="shared" si="12"/>
        <v>13300</v>
      </c>
      <c r="AW23" s="105">
        <f>AV23/AU23</f>
        <v>0.24629629629629629</v>
      </c>
    </row>
    <row r="24" spans="1:59" s="63" customFormat="1" ht="141.75" customHeight="1">
      <c r="A24" s="64"/>
      <c r="O24" s="83"/>
      <c r="AU24" s="87"/>
      <c r="AV24" s="87"/>
      <c r="AW24" s="87"/>
    </row>
    <row r="25" spans="1:59" ht="80.25" customHeight="1">
      <c r="B25" s="80"/>
      <c r="C25" s="80"/>
      <c r="D25" s="80"/>
      <c r="E25" s="220"/>
      <c r="F25" s="220"/>
      <c r="G25" s="80"/>
      <c r="H25" s="80"/>
      <c r="I25" s="80"/>
      <c r="J25" s="80"/>
      <c r="K25" s="80"/>
      <c r="L25" s="80"/>
      <c r="M25" s="80"/>
      <c r="N25" s="80"/>
      <c r="O25" s="80"/>
      <c r="P25" s="80"/>
      <c r="Q25" s="80"/>
      <c r="R25" s="80"/>
      <c r="S25" s="80"/>
      <c r="T25" s="80"/>
      <c r="U25" s="80"/>
      <c r="V25" s="80"/>
      <c r="W25" s="80"/>
      <c r="X25" s="80"/>
      <c r="Y25" s="80"/>
      <c r="Z25" s="80"/>
      <c r="AA25" s="80"/>
      <c r="AB25" s="80"/>
      <c r="AC25" s="80"/>
      <c r="AD25" s="80"/>
      <c r="AE25" s="80"/>
      <c r="AF25" s="80"/>
      <c r="AG25" s="80"/>
      <c r="AH25" s="80"/>
      <c r="AI25" s="80"/>
      <c r="AJ25" s="80"/>
      <c r="AK25" s="80"/>
      <c r="AL25" s="80"/>
      <c r="AM25" s="80"/>
      <c r="AN25" s="80"/>
      <c r="AO25" s="80"/>
      <c r="AP25" s="80"/>
      <c r="AQ25" s="80"/>
      <c r="AR25" s="80"/>
      <c r="AS25" s="80"/>
      <c r="AT25" s="80"/>
      <c r="AU25" s="80"/>
      <c r="AV25" s="80"/>
      <c r="AW25" s="80"/>
    </row>
    <row r="26" spans="1:59" s="58" customFormat="1" ht="20.25" customHeight="1">
      <c r="A26" s="54"/>
      <c r="B26" s="55"/>
      <c r="E26" s="65"/>
      <c r="F26" s="65"/>
      <c r="G26" s="65"/>
      <c r="H26" s="65"/>
      <c r="I26" s="57"/>
      <c r="J26" s="65"/>
      <c r="K26" s="57"/>
      <c r="L26" s="65"/>
      <c r="M26" s="65"/>
      <c r="N26" s="65"/>
      <c r="O26" s="65"/>
      <c r="P26" s="65"/>
      <c r="Q26" s="65"/>
      <c r="R26" s="65"/>
      <c r="S26" s="65"/>
      <c r="T26" s="65"/>
      <c r="U26" s="65"/>
      <c r="V26" s="65"/>
      <c r="W26" s="65"/>
      <c r="X26" s="65"/>
      <c r="Y26" s="57"/>
      <c r="Z26" s="65"/>
      <c r="AA26" s="65"/>
      <c r="AB26" s="65"/>
      <c r="AC26" s="65"/>
      <c r="AD26" s="57"/>
      <c r="AE26" s="65"/>
      <c r="AF26" s="57"/>
      <c r="AG26" s="65"/>
      <c r="AH26" s="65"/>
      <c r="AI26" s="65"/>
      <c r="AJ26" s="65"/>
      <c r="AK26" s="65"/>
      <c r="AL26" s="65"/>
      <c r="AM26" s="65"/>
      <c r="AN26" s="65"/>
      <c r="AO26" s="65"/>
      <c r="AP26" s="65"/>
      <c r="AQ26" s="65"/>
      <c r="AR26" s="65"/>
      <c r="AS26" s="65"/>
      <c r="AT26" s="57"/>
      <c r="AU26" s="65"/>
      <c r="AV26" s="65"/>
      <c r="AW26" s="66"/>
      <c r="BB26" s="59"/>
      <c r="BC26" s="59"/>
      <c r="BD26" s="59"/>
      <c r="BE26" s="59"/>
      <c r="BF26" s="59"/>
      <c r="BG26" s="59"/>
    </row>
    <row r="27" spans="1:59" s="58" customFormat="1" ht="20.25" customHeight="1">
      <c r="A27" s="54"/>
      <c r="B27" s="55"/>
      <c r="E27" s="65"/>
      <c r="F27" s="65"/>
      <c r="G27" s="65"/>
      <c r="H27" s="65"/>
      <c r="I27" s="57"/>
      <c r="J27" s="65"/>
      <c r="K27" s="57"/>
      <c r="L27" s="65"/>
      <c r="M27" s="65"/>
      <c r="N27" s="65"/>
      <c r="O27" s="65"/>
      <c r="P27" s="65"/>
      <c r="Q27" s="65"/>
      <c r="R27" s="65"/>
      <c r="S27" s="65"/>
      <c r="T27" s="65"/>
      <c r="U27" s="65"/>
      <c r="V27" s="65"/>
      <c r="W27" s="65"/>
      <c r="X27" s="65"/>
      <c r="Y27" s="57"/>
      <c r="Z27" s="65"/>
      <c r="AA27" s="65"/>
      <c r="AB27" s="65"/>
      <c r="AC27" s="65"/>
      <c r="AD27" s="57"/>
      <c r="AE27" s="65"/>
      <c r="AF27" s="57"/>
      <c r="AG27" s="65"/>
      <c r="AH27" s="65"/>
      <c r="AI27" s="65"/>
      <c r="AJ27" s="65"/>
      <c r="AK27" s="65"/>
      <c r="AL27" s="65"/>
      <c r="AM27" s="65"/>
      <c r="AN27" s="65"/>
      <c r="AO27" s="65"/>
      <c r="AP27" s="65"/>
      <c r="AQ27" s="65"/>
      <c r="AR27" s="65"/>
      <c r="AS27" s="65"/>
      <c r="AT27" s="57"/>
      <c r="AU27" s="65"/>
      <c r="AV27" s="65"/>
      <c r="AW27" s="66"/>
      <c r="BB27" s="59"/>
      <c r="BC27" s="59"/>
      <c r="BD27" s="59"/>
      <c r="BE27" s="59"/>
      <c r="BF27" s="59"/>
      <c r="BG27" s="59"/>
    </row>
    <row r="28" spans="1:59" s="58" customFormat="1" ht="20.25" customHeight="1">
      <c r="A28" s="54"/>
      <c r="B28" s="55"/>
      <c r="E28" s="65"/>
      <c r="F28" s="65"/>
      <c r="G28" s="65"/>
      <c r="H28" s="65"/>
      <c r="I28" s="57"/>
      <c r="J28" s="65"/>
      <c r="K28" s="57"/>
      <c r="L28" s="57"/>
      <c r="M28" s="65"/>
      <c r="N28" s="57"/>
      <c r="O28" s="57"/>
      <c r="P28" s="65"/>
      <c r="Q28" s="57"/>
      <c r="R28" s="57"/>
      <c r="S28" s="65"/>
      <c r="T28" s="57"/>
      <c r="U28" s="57"/>
      <c r="V28" s="65"/>
      <c r="W28" s="57"/>
      <c r="X28" s="57"/>
      <c r="Y28" s="57"/>
      <c r="Z28" s="65"/>
      <c r="AA28" s="65"/>
      <c r="AB28" s="65"/>
      <c r="AC28" s="65"/>
      <c r="AD28" s="57"/>
      <c r="AE28" s="65"/>
      <c r="AF28" s="57"/>
      <c r="AG28" s="57"/>
      <c r="AH28" s="65"/>
      <c r="AI28" s="57"/>
      <c r="AJ28" s="57"/>
      <c r="AK28" s="65"/>
      <c r="AL28" s="57"/>
      <c r="AM28" s="57"/>
      <c r="AN28" s="65"/>
      <c r="AO28" s="57"/>
      <c r="AP28" s="57"/>
      <c r="AQ28" s="65"/>
      <c r="AR28" s="57"/>
      <c r="AS28" s="57"/>
      <c r="AT28" s="57"/>
      <c r="AU28" s="57"/>
      <c r="AV28" s="57"/>
      <c r="AW28" s="66"/>
      <c r="BB28" s="59"/>
      <c r="BC28" s="59"/>
      <c r="BD28" s="59"/>
      <c r="BE28" s="59"/>
      <c r="BF28" s="59"/>
      <c r="BG28" s="59"/>
    </row>
    <row r="29" spans="1:59" s="58" customFormat="1" ht="20.25" customHeight="1">
      <c r="A29" s="54"/>
      <c r="B29" s="55"/>
      <c r="C29" s="56"/>
      <c r="D29" s="56"/>
      <c r="E29" s="57"/>
      <c r="F29" s="57"/>
      <c r="G29" s="57"/>
      <c r="H29" s="57"/>
      <c r="I29" s="57"/>
      <c r="J29" s="57"/>
      <c r="K29" s="57"/>
      <c r="L29" s="57"/>
      <c r="M29" s="57"/>
      <c r="N29" s="57"/>
      <c r="O29" s="57"/>
      <c r="P29" s="57"/>
      <c r="Q29" s="57"/>
      <c r="R29" s="57"/>
      <c r="S29" s="57"/>
      <c r="T29" s="57"/>
      <c r="U29" s="57"/>
      <c r="V29" s="57"/>
      <c r="W29" s="57"/>
      <c r="X29" s="57"/>
      <c r="Y29" s="57"/>
      <c r="Z29" s="57"/>
      <c r="AA29" s="57"/>
      <c r="AB29" s="57"/>
      <c r="AC29" s="57"/>
      <c r="AD29" s="57"/>
      <c r="AE29" s="57"/>
      <c r="AF29" s="57"/>
      <c r="AG29" s="57"/>
      <c r="AH29" s="57"/>
      <c r="AI29" s="57"/>
      <c r="AJ29" s="57"/>
      <c r="AK29" s="57"/>
      <c r="AL29" s="57"/>
      <c r="AM29" s="57"/>
      <c r="AN29" s="57"/>
      <c r="AO29" s="57"/>
      <c r="AP29" s="57"/>
      <c r="AQ29" s="57"/>
      <c r="AR29" s="57"/>
      <c r="AS29" s="57"/>
      <c r="AT29" s="57"/>
      <c r="AU29" s="57"/>
      <c r="AV29" s="57"/>
      <c r="AW29" s="66"/>
      <c r="BB29" s="59"/>
      <c r="BC29" s="59"/>
      <c r="BD29" s="59"/>
      <c r="BE29" s="59"/>
      <c r="BF29" s="59"/>
      <c r="BG29" s="59"/>
    </row>
    <row r="30" spans="1:59" s="58" customFormat="1" ht="20.25" customHeight="1">
      <c r="A30" s="54"/>
      <c r="B30" s="55"/>
      <c r="C30" s="56"/>
      <c r="D30" s="56"/>
      <c r="E30" s="57"/>
      <c r="F30" s="57"/>
      <c r="G30" s="57"/>
      <c r="H30" s="57"/>
      <c r="I30" s="57"/>
      <c r="J30" s="57"/>
      <c r="K30" s="57"/>
      <c r="L30" s="65"/>
      <c r="M30" s="57"/>
      <c r="N30" s="57"/>
      <c r="O30" s="57"/>
      <c r="P30" s="57"/>
      <c r="Q30" s="57"/>
      <c r="R30" s="57"/>
      <c r="S30" s="57"/>
      <c r="T30" s="57"/>
      <c r="U30" s="57"/>
      <c r="V30" s="57"/>
      <c r="W30" s="57"/>
      <c r="X30" s="57"/>
      <c r="Y30" s="57"/>
      <c r="Z30" s="57"/>
      <c r="AA30" s="57"/>
      <c r="AB30" s="57"/>
      <c r="AC30" s="57"/>
      <c r="AD30" s="57"/>
      <c r="AE30" s="57"/>
      <c r="AF30" s="57"/>
      <c r="AG30" s="65"/>
      <c r="AH30" s="57"/>
      <c r="AI30" s="57"/>
      <c r="AJ30" s="57"/>
      <c r="AK30" s="57"/>
      <c r="AL30" s="57"/>
      <c r="AM30" s="57"/>
      <c r="AN30" s="57"/>
      <c r="AO30" s="57"/>
      <c r="AP30" s="57"/>
      <c r="AQ30" s="57"/>
      <c r="AR30" s="57"/>
      <c r="AS30" s="57"/>
      <c r="AT30" s="57"/>
      <c r="AU30" s="57"/>
      <c r="AV30" s="57"/>
      <c r="AW30" s="66"/>
      <c r="BB30" s="59"/>
      <c r="BC30" s="59"/>
      <c r="BD30" s="59"/>
      <c r="BE30" s="59"/>
      <c r="BF30" s="59"/>
      <c r="BG30" s="59"/>
    </row>
    <row r="31" spans="1:59" s="58" customFormat="1" ht="20.25" customHeight="1">
      <c r="A31" s="54"/>
      <c r="B31" s="55"/>
      <c r="C31" s="56"/>
      <c r="D31" s="56"/>
      <c r="E31" s="57"/>
      <c r="F31" s="57"/>
      <c r="G31" s="57"/>
      <c r="H31" s="57"/>
      <c r="I31" s="57"/>
      <c r="J31" s="57"/>
      <c r="K31" s="57"/>
      <c r="L31" s="57"/>
      <c r="M31" s="57"/>
      <c r="N31" s="57"/>
      <c r="O31" s="57"/>
      <c r="P31" s="57"/>
      <c r="Q31" s="57"/>
      <c r="R31" s="57"/>
      <c r="S31" s="57"/>
      <c r="T31" s="57"/>
      <c r="U31" s="57"/>
      <c r="V31" s="57"/>
      <c r="W31" s="57"/>
      <c r="X31" s="57"/>
      <c r="Y31" s="57"/>
      <c r="Z31" s="57"/>
      <c r="AA31" s="57"/>
      <c r="AB31" s="57"/>
      <c r="AC31" s="57"/>
      <c r="AD31" s="57"/>
      <c r="AE31" s="57"/>
      <c r="AF31" s="57"/>
      <c r="AG31" s="57"/>
      <c r="AH31" s="57"/>
      <c r="AI31" s="57"/>
      <c r="AJ31" s="57"/>
      <c r="AK31" s="57"/>
      <c r="AL31" s="57"/>
      <c r="AM31" s="57"/>
      <c r="AN31" s="57"/>
      <c r="AO31" s="57"/>
      <c r="AP31" s="57"/>
      <c r="AQ31" s="57"/>
      <c r="AR31" s="57"/>
      <c r="AS31" s="57"/>
      <c r="AT31" s="57"/>
      <c r="AU31" s="57"/>
      <c r="AV31" s="57"/>
      <c r="AW31" s="66"/>
      <c r="BB31" s="59"/>
      <c r="BC31" s="59"/>
      <c r="BD31" s="59"/>
      <c r="BE31" s="59"/>
      <c r="BF31" s="59"/>
      <c r="BG31" s="59"/>
    </row>
    <row r="32" spans="1:59" s="58" customFormat="1" ht="20.25" customHeight="1">
      <c r="A32" s="54"/>
      <c r="B32" s="55"/>
      <c r="C32" s="56"/>
      <c r="D32" s="56"/>
      <c r="E32" s="57"/>
      <c r="F32" s="57"/>
      <c r="G32" s="57"/>
      <c r="H32" s="57"/>
      <c r="I32" s="57"/>
      <c r="J32" s="57"/>
      <c r="K32" s="57"/>
      <c r="L32" s="57"/>
      <c r="M32" s="57"/>
      <c r="N32" s="57"/>
      <c r="O32" s="57"/>
      <c r="P32" s="57"/>
      <c r="Q32" s="57"/>
      <c r="R32" s="57"/>
      <c r="S32" s="57"/>
      <c r="T32" s="57"/>
      <c r="U32" s="57"/>
      <c r="V32" s="57"/>
      <c r="W32" s="57"/>
      <c r="X32" s="57"/>
      <c r="Y32" s="57"/>
      <c r="Z32" s="57"/>
      <c r="AA32" s="57"/>
      <c r="AB32" s="57"/>
      <c r="AC32" s="57"/>
      <c r="AD32" s="57"/>
      <c r="AE32" s="57"/>
      <c r="AF32" s="57"/>
      <c r="AG32" s="57"/>
      <c r="AH32" s="57"/>
      <c r="AI32" s="57"/>
      <c r="AJ32" s="57"/>
      <c r="AK32" s="57"/>
      <c r="AL32" s="57"/>
      <c r="AM32" s="57"/>
      <c r="AN32" s="57"/>
      <c r="AO32" s="57"/>
      <c r="AP32" s="57"/>
      <c r="AQ32" s="57"/>
      <c r="AR32" s="57"/>
      <c r="AS32" s="57"/>
      <c r="AT32" s="57"/>
      <c r="AU32" s="57"/>
      <c r="AV32" s="57"/>
      <c r="AW32" s="66"/>
      <c r="BB32" s="59"/>
      <c r="BC32" s="59"/>
      <c r="BD32" s="59"/>
      <c r="BE32" s="59"/>
      <c r="BF32" s="59"/>
      <c r="BG32" s="59"/>
    </row>
  </sheetData>
  <mergeCells count="44">
    <mergeCell ref="E25:F25"/>
    <mergeCell ref="B17:D17"/>
    <mergeCell ref="B18:D18"/>
    <mergeCell ref="B19:D19"/>
    <mergeCell ref="B20:D20"/>
    <mergeCell ref="B21:D21"/>
    <mergeCell ref="B22:D22"/>
    <mergeCell ref="B14:D14"/>
    <mergeCell ref="AX14:AX16"/>
    <mergeCell ref="B15:D15"/>
    <mergeCell ref="B16:D16"/>
    <mergeCell ref="B23:D23"/>
    <mergeCell ref="B11:D11"/>
    <mergeCell ref="B12:D12"/>
    <mergeCell ref="AX12:AY12"/>
    <mergeCell ref="B10:D10"/>
    <mergeCell ref="B13:D13"/>
    <mergeCell ref="AU4:AW4"/>
    <mergeCell ref="B6:D6"/>
    <mergeCell ref="Z4:AB4"/>
    <mergeCell ref="AC4:AE4"/>
    <mergeCell ref="AX8:AX9"/>
    <mergeCell ref="B9:D9"/>
    <mergeCell ref="B7:D7"/>
    <mergeCell ref="B8:D8"/>
    <mergeCell ref="B5:D5"/>
    <mergeCell ref="T4:V4"/>
    <mergeCell ref="W4:Y4"/>
    <mergeCell ref="A2:D2"/>
    <mergeCell ref="AY2:AZ2"/>
    <mergeCell ref="B3:D3"/>
    <mergeCell ref="AX3:AY3"/>
    <mergeCell ref="B4:D4"/>
    <mergeCell ref="E4:G4"/>
    <mergeCell ref="H4:J4"/>
    <mergeCell ref="K4:M4"/>
    <mergeCell ref="N4:P4"/>
    <mergeCell ref="Q4:S4"/>
    <mergeCell ref="AX4:AY4"/>
    <mergeCell ref="AF4:AH4"/>
    <mergeCell ref="AI4:AK4"/>
    <mergeCell ref="AL4:AN4"/>
    <mergeCell ref="AO4:AQ4"/>
    <mergeCell ref="AR4:AT4"/>
  </mergeCells>
  <phoneticPr fontId="1"/>
  <printOptions horizontalCentered="1"/>
  <pageMargins left="0.39370078740157499" right="0.39370078740157499" top="0.59055118110236204" bottom="0.39370078740157499" header="0.39370078740157499" footer="0.196850393700787"/>
  <pageSetup paperSize="8" scale="21" orientation="landscape" r:id="rId1"/>
  <headerFooter>
    <oddHeader>&amp;R&amp;"HG丸ｺﾞｼｯｸM-PRO,標準"&amp;14ＳＨＣ</oddHeader>
  </headerFooter>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55F709-FC75-4A96-9632-C0FCE7D4A73E}">
  <sheetPr>
    <tabColor rgb="FF7030A0"/>
    <pageSetUpPr fitToPage="1"/>
  </sheetPr>
  <dimension ref="A1:BG32"/>
  <sheetViews>
    <sheetView showGridLines="0" view="pageBreakPreview" topLeftCell="B1" zoomScale="40" zoomScaleNormal="100" zoomScaleSheetLayoutView="40" zoomScalePageLayoutView="80" workbookViewId="0">
      <pane xSplit="3" ySplit="6" topLeftCell="E7" activePane="bottomRight" state="frozen"/>
      <selection activeCell="B1" sqref="B1"/>
      <selection pane="topRight" activeCell="E1" sqref="E1"/>
      <selection pane="bottomLeft" activeCell="B6" sqref="B6"/>
      <selection pane="bottomRight" activeCell="B4" sqref="B4:D4"/>
    </sheetView>
  </sheetViews>
  <sheetFormatPr defaultColWidth="9" defaultRowHeight="20.25" customHeight="1" outlineLevelRow="1"/>
  <cols>
    <col min="1" max="1" width="9" style="54"/>
    <col min="2" max="2" width="20.59765625" style="55" customWidth="1"/>
    <col min="3" max="4" width="20.59765625" style="56" customWidth="1"/>
    <col min="5" max="8" width="18.265625" style="57" customWidth="1"/>
    <col min="9" max="9" width="16.1328125" style="57" customWidth="1"/>
    <col min="10" max="22" width="18.265625" style="57" customWidth="1"/>
    <col min="23" max="23" width="23.33203125" style="57" bestFit="1" customWidth="1"/>
    <col min="24" max="43" width="18.265625" style="57" customWidth="1"/>
    <col min="44" max="44" width="23.33203125" style="57" bestFit="1" customWidth="1"/>
    <col min="45" max="46" width="18.265625" style="57" customWidth="1"/>
    <col min="47" max="47" width="23.33203125" style="57" bestFit="1" customWidth="1"/>
    <col min="48" max="48" width="18.265625" style="57" customWidth="1"/>
    <col min="49" max="49" width="18.265625" style="66" customWidth="1"/>
    <col min="50" max="51" width="10.06640625" style="58" customWidth="1"/>
    <col min="52" max="52" width="12.33203125" style="58" customWidth="1"/>
    <col min="53" max="53" width="2.33203125" style="58" customWidth="1"/>
    <col min="54" max="58" width="9" style="59"/>
    <col min="59" max="59" width="25.796875" style="59" customWidth="1"/>
    <col min="60" max="16384" width="9" style="59"/>
  </cols>
  <sheetData>
    <row r="1" spans="1:53" ht="20.25" customHeight="1">
      <c r="AW1" s="57"/>
    </row>
    <row r="2" spans="1:53" s="63" customFormat="1" ht="80.25" customHeight="1">
      <c r="A2" s="180" t="s">
        <v>39</v>
      </c>
      <c r="B2" s="180"/>
      <c r="C2" s="180"/>
      <c r="D2" s="180"/>
      <c r="E2" s="60"/>
      <c r="F2" s="60"/>
      <c r="G2" s="60"/>
      <c r="H2" s="60"/>
      <c r="I2" s="60"/>
      <c r="J2" s="60"/>
      <c r="K2" s="60"/>
      <c r="L2" s="60"/>
      <c r="M2" s="60"/>
      <c r="N2" s="60"/>
      <c r="O2" s="60"/>
      <c r="P2" s="60"/>
      <c r="Q2" s="60"/>
      <c r="R2" s="60"/>
      <c r="S2" s="60"/>
      <c r="T2" s="60"/>
      <c r="U2" s="60"/>
      <c r="V2" s="60"/>
      <c r="W2" s="60"/>
      <c r="X2" s="60"/>
      <c r="Y2" s="60"/>
      <c r="Z2" s="60"/>
      <c r="AA2" s="60"/>
      <c r="AB2" s="60"/>
      <c r="AC2" s="60"/>
      <c r="AD2" s="60"/>
      <c r="AE2" s="60"/>
      <c r="AF2" s="60"/>
      <c r="AG2" s="60"/>
      <c r="AH2" s="60"/>
      <c r="AI2" s="60"/>
      <c r="AJ2" s="60"/>
      <c r="AK2" s="60"/>
      <c r="AL2" s="60"/>
      <c r="AM2" s="60"/>
      <c r="AN2" s="60"/>
      <c r="AO2" s="60"/>
      <c r="AP2" s="60"/>
      <c r="AQ2" s="60"/>
      <c r="AR2" s="60"/>
      <c r="AS2" s="60"/>
      <c r="AT2" s="60"/>
      <c r="AU2" s="60"/>
      <c r="AV2" s="60"/>
      <c r="AW2" s="60"/>
      <c r="AX2" s="61"/>
      <c r="AY2" s="181"/>
      <c r="AZ2" s="182"/>
      <c r="BA2" s="62"/>
    </row>
    <row r="3" spans="1:53" s="63" customFormat="1" ht="80.25" customHeight="1">
      <c r="A3" s="64"/>
      <c r="B3" s="183" t="s">
        <v>57</v>
      </c>
      <c r="C3" s="183"/>
      <c r="D3" s="183"/>
      <c r="E3" s="60"/>
      <c r="F3" s="60"/>
      <c r="G3" s="60"/>
      <c r="H3" s="60"/>
      <c r="I3" s="60"/>
      <c r="J3" s="60"/>
      <c r="K3" s="60"/>
      <c r="L3" s="60"/>
      <c r="M3" s="60"/>
      <c r="N3" s="60"/>
      <c r="O3" s="60"/>
      <c r="P3" s="60"/>
      <c r="Q3" s="60"/>
      <c r="R3" s="60"/>
      <c r="S3" s="60"/>
      <c r="T3" s="60"/>
      <c r="U3" s="60"/>
      <c r="V3" s="60"/>
      <c r="W3" s="60"/>
      <c r="X3" s="60"/>
      <c r="Y3" s="60"/>
      <c r="Z3" s="60"/>
      <c r="AA3" s="60"/>
      <c r="AB3" s="60"/>
      <c r="AC3" s="60"/>
      <c r="AD3" s="60"/>
      <c r="AE3" s="60"/>
      <c r="AF3" s="60"/>
      <c r="AG3" s="60"/>
      <c r="AH3" s="60"/>
      <c r="AI3" s="60"/>
      <c r="AJ3" s="60"/>
      <c r="AK3" s="60"/>
      <c r="AL3" s="60"/>
      <c r="AM3" s="60"/>
      <c r="AN3" s="60"/>
      <c r="AO3" s="60"/>
      <c r="AP3" s="60"/>
      <c r="AQ3" s="60"/>
      <c r="AR3" s="60"/>
      <c r="AS3" s="60"/>
      <c r="AT3" s="60"/>
      <c r="AU3" s="60"/>
      <c r="AV3" s="60"/>
      <c r="AW3" s="60" t="s">
        <v>46</v>
      </c>
      <c r="AX3" s="184"/>
      <c r="AY3" s="184"/>
    </row>
    <row r="4" spans="1:53" ht="76.05" customHeight="1">
      <c r="B4" s="185"/>
      <c r="C4" s="186"/>
      <c r="D4" s="187"/>
      <c r="E4" s="188" t="s">
        <v>14</v>
      </c>
      <c r="F4" s="189"/>
      <c r="G4" s="190"/>
      <c r="H4" s="188" t="s">
        <v>13</v>
      </c>
      <c r="I4" s="189"/>
      <c r="J4" s="190"/>
      <c r="K4" s="188" t="s">
        <v>12</v>
      </c>
      <c r="L4" s="189"/>
      <c r="M4" s="190"/>
      <c r="N4" s="188" t="s">
        <v>11</v>
      </c>
      <c r="O4" s="189"/>
      <c r="P4" s="190"/>
      <c r="Q4" s="188" t="s">
        <v>10</v>
      </c>
      <c r="R4" s="189"/>
      <c r="S4" s="190"/>
      <c r="T4" s="188" t="s">
        <v>9</v>
      </c>
      <c r="U4" s="189"/>
      <c r="V4" s="190"/>
      <c r="W4" s="192" t="s">
        <v>43</v>
      </c>
      <c r="X4" s="193"/>
      <c r="Y4" s="194"/>
      <c r="Z4" s="188" t="s">
        <v>6</v>
      </c>
      <c r="AA4" s="189"/>
      <c r="AB4" s="190"/>
      <c r="AC4" s="188" t="s">
        <v>50</v>
      </c>
      <c r="AD4" s="189"/>
      <c r="AE4" s="190"/>
      <c r="AF4" s="188" t="s">
        <v>51</v>
      </c>
      <c r="AG4" s="189"/>
      <c r="AH4" s="190"/>
      <c r="AI4" s="188" t="s">
        <v>52</v>
      </c>
      <c r="AJ4" s="189"/>
      <c r="AK4" s="190"/>
      <c r="AL4" s="188" t="s">
        <v>53</v>
      </c>
      <c r="AM4" s="189"/>
      <c r="AN4" s="190"/>
      <c r="AO4" s="188" t="s">
        <v>54</v>
      </c>
      <c r="AP4" s="189"/>
      <c r="AQ4" s="190"/>
      <c r="AR4" s="192" t="s">
        <v>44</v>
      </c>
      <c r="AS4" s="193"/>
      <c r="AT4" s="194"/>
      <c r="AU4" s="235" t="s">
        <v>45</v>
      </c>
      <c r="AV4" s="236"/>
      <c r="AW4" s="237"/>
      <c r="AX4" s="191"/>
      <c r="AY4" s="191"/>
      <c r="AZ4" s="65"/>
      <c r="BA4" s="65"/>
    </row>
    <row r="5" spans="1:53" ht="88.5" customHeight="1">
      <c r="B5" s="210"/>
      <c r="C5" s="189"/>
      <c r="D5" s="190"/>
      <c r="E5" s="97" t="s">
        <v>47</v>
      </c>
      <c r="F5" s="98" t="s">
        <v>48</v>
      </c>
      <c r="G5" s="99" t="s">
        <v>49</v>
      </c>
      <c r="H5" s="97" t="s">
        <v>47</v>
      </c>
      <c r="I5" s="98" t="s">
        <v>48</v>
      </c>
      <c r="J5" s="99" t="s">
        <v>49</v>
      </c>
      <c r="K5" s="97" t="s">
        <v>47</v>
      </c>
      <c r="L5" s="98" t="s">
        <v>48</v>
      </c>
      <c r="M5" s="99" t="s">
        <v>49</v>
      </c>
      <c r="N5" s="97" t="s">
        <v>47</v>
      </c>
      <c r="O5" s="98" t="s">
        <v>48</v>
      </c>
      <c r="P5" s="99" t="s">
        <v>49</v>
      </c>
      <c r="Q5" s="97" t="s">
        <v>47</v>
      </c>
      <c r="R5" s="98" t="s">
        <v>48</v>
      </c>
      <c r="S5" s="99" t="s">
        <v>49</v>
      </c>
      <c r="T5" s="97" t="s">
        <v>47</v>
      </c>
      <c r="U5" s="98" t="s">
        <v>48</v>
      </c>
      <c r="V5" s="99" t="s">
        <v>49</v>
      </c>
      <c r="W5" s="97" t="s">
        <v>47</v>
      </c>
      <c r="X5" s="98" t="s">
        <v>48</v>
      </c>
      <c r="Y5" s="99" t="s">
        <v>49</v>
      </c>
      <c r="Z5" s="97" t="s">
        <v>47</v>
      </c>
      <c r="AA5" s="98" t="s">
        <v>48</v>
      </c>
      <c r="AB5" s="99" t="s">
        <v>49</v>
      </c>
      <c r="AC5" s="97" t="s">
        <v>47</v>
      </c>
      <c r="AD5" s="98" t="s">
        <v>48</v>
      </c>
      <c r="AE5" s="99" t="s">
        <v>49</v>
      </c>
      <c r="AF5" s="97" t="s">
        <v>47</v>
      </c>
      <c r="AG5" s="98" t="s">
        <v>48</v>
      </c>
      <c r="AH5" s="99" t="s">
        <v>49</v>
      </c>
      <c r="AI5" s="97" t="s">
        <v>47</v>
      </c>
      <c r="AJ5" s="98" t="s">
        <v>48</v>
      </c>
      <c r="AK5" s="99" t="s">
        <v>49</v>
      </c>
      <c r="AL5" s="97" t="s">
        <v>47</v>
      </c>
      <c r="AM5" s="98" t="s">
        <v>48</v>
      </c>
      <c r="AN5" s="99" t="s">
        <v>49</v>
      </c>
      <c r="AO5" s="97" t="s">
        <v>47</v>
      </c>
      <c r="AP5" s="98" t="s">
        <v>48</v>
      </c>
      <c r="AQ5" s="99" t="s">
        <v>49</v>
      </c>
      <c r="AR5" s="97" t="s">
        <v>47</v>
      </c>
      <c r="AS5" s="98" t="s">
        <v>48</v>
      </c>
      <c r="AT5" s="99" t="s">
        <v>49</v>
      </c>
      <c r="AU5" s="97" t="s">
        <v>47</v>
      </c>
      <c r="AV5" s="98" t="s">
        <v>48</v>
      </c>
      <c r="AW5" s="99" t="s">
        <v>49</v>
      </c>
      <c r="AX5" s="65"/>
      <c r="AY5" s="65"/>
      <c r="AZ5" s="65"/>
      <c r="BA5" s="65"/>
    </row>
    <row r="6" spans="1:53" ht="99" customHeight="1">
      <c r="B6" s="238" t="s">
        <v>18</v>
      </c>
      <c r="C6" s="239"/>
      <c r="D6" s="240"/>
      <c r="E6" s="92">
        <f>E12+E17+E23</f>
        <v>5600</v>
      </c>
      <c r="F6" s="93">
        <f>F12+F17+F23</f>
        <v>3690</v>
      </c>
      <c r="G6" s="88">
        <f>F6/E6</f>
        <v>0.65892857142857142</v>
      </c>
      <c r="H6" s="82">
        <f>H12+H17+H23</f>
        <v>6000</v>
      </c>
      <c r="I6" s="81">
        <f>I12+I17+I23</f>
        <v>5165</v>
      </c>
      <c r="J6" s="88">
        <f>I6/H6</f>
        <v>0.86083333333333334</v>
      </c>
      <c r="K6" s="81">
        <f>K12+K17+K23</f>
        <v>5600</v>
      </c>
      <c r="L6" s="81">
        <f>L12+L17+L23</f>
        <v>5505</v>
      </c>
      <c r="M6" s="88">
        <f>L6/K6</f>
        <v>0.98303571428571423</v>
      </c>
      <c r="N6" s="81">
        <f>N12+N17+N23</f>
        <v>6000</v>
      </c>
      <c r="O6" s="81">
        <f>O12+O17+O23</f>
        <v>0</v>
      </c>
      <c r="P6" s="88">
        <f>O6/N6</f>
        <v>0</v>
      </c>
      <c r="Q6" s="81">
        <f>Q12+Q17+Q23</f>
        <v>5600</v>
      </c>
      <c r="R6" s="81">
        <f>R12+R17+R23</f>
        <v>0</v>
      </c>
      <c r="S6" s="88">
        <f>R6/Q6</f>
        <v>0</v>
      </c>
      <c r="T6" s="81">
        <f>T12+T17+T23</f>
        <v>6000</v>
      </c>
      <c r="U6" s="81">
        <f>U12+U17+U23</f>
        <v>0</v>
      </c>
      <c r="V6" s="88">
        <f>U6/T6</f>
        <v>0</v>
      </c>
      <c r="W6" s="81">
        <f>W12+W17+W23</f>
        <v>34800</v>
      </c>
      <c r="X6" s="81">
        <f>X12+X17+X23</f>
        <v>14360</v>
      </c>
      <c r="Y6" s="88">
        <f>X6/W6</f>
        <v>0.41264367816091951</v>
      </c>
      <c r="Z6" s="81">
        <f>Z12+Z17+Z23</f>
        <v>5600</v>
      </c>
      <c r="AA6" s="81">
        <f>AA12+AA17+AA23</f>
        <v>0</v>
      </c>
      <c r="AB6" s="88">
        <f>AA6/Z6</f>
        <v>0</v>
      </c>
      <c r="AC6" s="81">
        <f>AC12+AC17+AC23</f>
        <v>6000</v>
      </c>
      <c r="AD6" s="81">
        <f>AD12+AD17+AD23</f>
        <v>0</v>
      </c>
      <c r="AE6" s="88">
        <f>AD6/AC6</f>
        <v>0</v>
      </c>
      <c r="AF6" s="81">
        <f>AF12+AF17+AF23</f>
        <v>5600</v>
      </c>
      <c r="AG6" s="81">
        <f>AG12+AG17+AG23</f>
        <v>0</v>
      </c>
      <c r="AH6" s="88">
        <f>AG6/AF6</f>
        <v>0</v>
      </c>
      <c r="AI6" s="81">
        <f>AI12+AI17+AI23</f>
        <v>6000</v>
      </c>
      <c r="AJ6" s="81">
        <f>AJ12+AJ17+AJ23</f>
        <v>0</v>
      </c>
      <c r="AK6" s="88">
        <f>AJ6/AI6</f>
        <v>0</v>
      </c>
      <c r="AL6" s="81">
        <f>AL12+AL17+AL23</f>
        <v>5600</v>
      </c>
      <c r="AM6" s="81">
        <f>AM12+AM17+AM23</f>
        <v>0</v>
      </c>
      <c r="AN6" s="88">
        <f>AM6/AL6</f>
        <v>0</v>
      </c>
      <c r="AO6" s="81">
        <f>AO12+AO17+AO23</f>
        <v>6000</v>
      </c>
      <c r="AP6" s="81">
        <f>AP12+AP17+AP23</f>
        <v>0</v>
      </c>
      <c r="AQ6" s="88">
        <f>AP6/AO6</f>
        <v>0</v>
      </c>
      <c r="AR6" s="81">
        <f>AR12+AR17+AR23</f>
        <v>34800</v>
      </c>
      <c r="AS6" s="81">
        <f>AS12+AS17+AS23</f>
        <v>0</v>
      </c>
      <c r="AT6" s="88">
        <f>AS6/AR6</f>
        <v>0</v>
      </c>
      <c r="AU6" s="81">
        <f>AU12+AU17+AU23</f>
        <v>69600</v>
      </c>
      <c r="AV6" s="81">
        <f>AV12+AV17+AV23</f>
        <v>14360</v>
      </c>
      <c r="AW6" s="100">
        <f>AV6/AU6</f>
        <v>0.20632183908045976</v>
      </c>
      <c r="AX6" s="65"/>
      <c r="AY6" s="65"/>
      <c r="AZ6" s="65"/>
      <c r="BA6" s="65"/>
    </row>
    <row r="7" spans="1:53" ht="80.25" customHeight="1">
      <c r="B7" s="214" t="s">
        <v>55</v>
      </c>
      <c r="C7" s="215"/>
      <c r="D7" s="216"/>
      <c r="E7" s="78" t="s">
        <v>5</v>
      </c>
      <c r="F7" s="95" t="s">
        <v>4</v>
      </c>
      <c r="G7" s="111" t="s">
        <v>56</v>
      </c>
      <c r="H7" s="74" t="s">
        <v>5</v>
      </c>
      <c r="I7" s="68" t="s">
        <v>4</v>
      </c>
      <c r="J7" s="111" t="s">
        <v>56</v>
      </c>
      <c r="K7" s="68" t="s">
        <v>5</v>
      </c>
      <c r="L7" s="68" t="s">
        <v>4</v>
      </c>
      <c r="M7" s="111" t="s">
        <v>56</v>
      </c>
      <c r="N7" s="68" t="s">
        <v>5</v>
      </c>
      <c r="O7" s="68" t="s">
        <v>4</v>
      </c>
      <c r="P7" s="111" t="s">
        <v>56</v>
      </c>
      <c r="Q7" s="68" t="s">
        <v>5</v>
      </c>
      <c r="R7" s="68" t="s">
        <v>4</v>
      </c>
      <c r="S7" s="111" t="s">
        <v>56</v>
      </c>
      <c r="T7" s="68" t="s">
        <v>5</v>
      </c>
      <c r="U7" s="68" t="s">
        <v>4</v>
      </c>
      <c r="V7" s="111" t="s">
        <v>56</v>
      </c>
      <c r="W7" s="68" t="s">
        <v>5</v>
      </c>
      <c r="X7" s="68" t="s">
        <v>4</v>
      </c>
      <c r="Y7" s="111" t="s">
        <v>56</v>
      </c>
      <c r="Z7" s="68" t="s">
        <v>5</v>
      </c>
      <c r="AA7" s="68" t="s">
        <v>4</v>
      </c>
      <c r="AB7" s="111" t="s">
        <v>56</v>
      </c>
      <c r="AC7" s="68" t="s">
        <v>5</v>
      </c>
      <c r="AD7" s="68" t="s">
        <v>4</v>
      </c>
      <c r="AE7" s="111" t="s">
        <v>56</v>
      </c>
      <c r="AF7" s="68" t="s">
        <v>5</v>
      </c>
      <c r="AG7" s="68" t="s">
        <v>4</v>
      </c>
      <c r="AH7" s="111" t="s">
        <v>56</v>
      </c>
      <c r="AI7" s="68" t="s">
        <v>5</v>
      </c>
      <c r="AJ7" s="68" t="s">
        <v>4</v>
      </c>
      <c r="AK7" s="111" t="s">
        <v>56</v>
      </c>
      <c r="AL7" s="68" t="s">
        <v>5</v>
      </c>
      <c r="AM7" s="68" t="s">
        <v>4</v>
      </c>
      <c r="AN7" s="111" t="s">
        <v>56</v>
      </c>
      <c r="AO7" s="68" t="s">
        <v>5</v>
      </c>
      <c r="AP7" s="68" t="s">
        <v>4</v>
      </c>
      <c r="AQ7" s="111" t="s">
        <v>56</v>
      </c>
      <c r="AR7" s="68" t="s">
        <v>5</v>
      </c>
      <c r="AS7" s="68" t="s">
        <v>4</v>
      </c>
      <c r="AT7" s="111" t="s">
        <v>56</v>
      </c>
      <c r="AU7" s="68" t="s">
        <v>5</v>
      </c>
      <c r="AV7" s="68" t="s">
        <v>4</v>
      </c>
      <c r="AW7" s="111" t="s">
        <v>56</v>
      </c>
      <c r="AX7" s="65"/>
      <c r="AY7" s="65"/>
      <c r="BA7" s="54"/>
    </row>
    <row r="8" spans="1:53" ht="80.25" customHeight="1">
      <c r="B8" s="201" t="s">
        <v>0</v>
      </c>
      <c r="C8" s="202"/>
      <c r="D8" s="203"/>
      <c r="E8" s="76">
        <v>900</v>
      </c>
      <c r="F8" s="89">
        <v>400</v>
      </c>
      <c r="G8" s="96">
        <f>F8/E8</f>
        <v>0.44444444444444442</v>
      </c>
      <c r="H8" s="72">
        <v>900</v>
      </c>
      <c r="I8" s="67">
        <v>0</v>
      </c>
      <c r="J8" s="96">
        <f>I8/H8</f>
        <v>0</v>
      </c>
      <c r="K8" s="67">
        <v>900</v>
      </c>
      <c r="L8" s="67">
        <v>0</v>
      </c>
      <c r="M8" s="96">
        <f>L8/K8</f>
        <v>0</v>
      </c>
      <c r="N8" s="67">
        <v>900</v>
      </c>
      <c r="O8" s="67"/>
      <c r="P8" s="96">
        <f>O8/N8</f>
        <v>0</v>
      </c>
      <c r="Q8" s="67">
        <v>900</v>
      </c>
      <c r="R8" s="67"/>
      <c r="S8" s="96">
        <f>R8/Q8</f>
        <v>0</v>
      </c>
      <c r="T8" s="67">
        <v>900</v>
      </c>
      <c r="U8" s="67"/>
      <c r="V8" s="96">
        <f>U8/T8</f>
        <v>0</v>
      </c>
      <c r="W8" s="67">
        <f t="shared" ref="W8:X10" si="0">E8+H8+K8+N8+Q8+T8</f>
        <v>5400</v>
      </c>
      <c r="X8" s="67">
        <f t="shared" si="0"/>
        <v>400</v>
      </c>
      <c r="Y8" s="96">
        <f>X8/W8</f>
        <v>7.407407407407407E-2</v>
      </c>
      <c r="Z8" s="67">
        <v>900</v>
      </c>
      <c r="AA8" s="67"/>
      <c r="AB8" s="96">
        <f>AA8/Z8</f>
        <v>0</v>
      </c>
      <c r="AC8" s="67">
        <v>900</v>
      </c>
      <c r="AD8" s="67"/>
      <c r="AE8" s="96">
        <f>AD8/AC8</f>
        <v>0</v>
      </c>
      <c r="AF8" s="67">
        <v>900</v>
      </c>
      <c r="AG8" s="67"/>
      <c r="AH8" s="96">
        <f>AG8/AF8</f>
        <v>0</v>
      </c>
      <c r="AI8" s="67">
        <v>900</v>
      </c>
      <c r="AJ8" s="67"/>
      <c r="AK8" s="96">
        <f>AJ8/AI8</f>
        <v>0</v>
      </c>
      <c r="AL8" s="67">
        <v>900</v>
      </c>
      <c r="AM8" s="67"/>
      <c r="AN8" s="96">
        <f>AM8/AL8</f>
        <v>0</v>
      </c>
      <c r="AO8" s="67">
        <v>900</v>
      </c>
      <c r="AP8" s="67"/>
      <c r="AQ8" s="96">
        <f>AP8/AO8</f>
        <v>0</v>
      </c>
      <c r="AR8" s="67">
        <f>SUM(Z8:AP8)</f>
        <v>5400</v>
      </c>
      <c r="AS8" s="67">
        <f>AA8+AD8+AG8+AJ8+AM8+AP8</f>
        <v>0</v>
      </c>
      <c r="AT8" s="96">
        <f>AS8/AR8</f>
        <v>0</v>
      </c>
      <c r="AU8" s="67">
        <f t="shared" ref="AU8:AV11" si="1">W8+AR8</f>
        <v>10800</v>
      </c>
      <c r="AV8" s="67">
        <f t="shared" si="1"/>
        <v>400</v>
      </c>
      <c r="AW8" s="101">
        <f>AV8/AU8</f>
        <v>3.7037037037037035E-2</v>
      </c>
      <c r="AX8" s="191"/>
      <c r="BA8" s="54"/>
    </row>
    <row r="9" spans="1:53" ht="80.25" customHeight="1">
      <c r="B9" s="201" t="s">
        <v>3</v>
      </c>
      <c r="C9" s="202"/>
      <c r="D9" s="203"/>
      <c r="E9" s="76">
        <v>200</v>
      </c>
      <c r="F9" s="67">
        <v>0</v>
      </c>
      <c r="G9" s="96">
        <f>F9/E9</f>
        <v>0</v>
      </c>
      <c r="H9" s="72">
        <v>200</v>
      </c>
      <c r="I9" s="67">
        <v>200</v>
      </c>
      <c r="J9" s="96">
        <f>I9/H9</f>
        <v>1</v>
      </c>
      <c r="K9" s="67">
        <v>200</v>
      </c>
      <c r="L9" s="67">
        <v>0</v>
      </c>
      <c r="M9" s="96">
        <f>L9/K9</f>
        <v>0</v>
      </c>
      <c r="N9" s="67">
        <v>200</v>
      </c>
      <c r="O9" s="67"/>
      <c r="P9" s="96">
        <f>O9/N9</f>
        <v>0</v>
      </c>
      <c r="Q9" s="67">
        <v>200</v>
      </c>
      <c r="R9" s="67"/>
      <c r="S9" s="96">
        <f>R9/Q9</f>
        <v>0</v>
      </c>
      <c r="T9" s="67">
        <v>200</v>
      </c>
      <c r="U9" s="67"/>
      <c r="V9" s="96">
        <f>U9/T9</f>
        <v>0</v>
      </c>
      <c r="W9" s="67">
        <f t="shared" si="0"/>
        <v>1200</v>
      </c>
      <c r="X9" s="67">
        <f t="shared" si="0"/>
        <v>200</v>
      </c>
      <c r="Y9" s="96">
        <f>X9/W9</f>
        <v>0.16666666666666666</v>
      </c>
      <c r="Z9" s="67">
        <v>200</v>
      </c>
      <c r="AA9" s="67"/>
      <c r="AB9" s="96">
        <f>AA9/Z9</f>
        <v>0</v>
      </c>
      <c r="AC9" s="67">
        <v>200</v>
      </c>
      <c r="AD9" s="67"/>
      <c r="AE9" s="96">
        <f>AD9/AC9</f>
        <v>0</v>
      </c>
      <c r="AF9" s="67">
        <v>200</v>
      </c>
      <c r="AG9" s="67"/>
      <c r="AH9" s="96">
        <f>AG9/AF9</f>
        <v>0</v>
      </c>
      <c r="AI9" s="67">
        <v>200</v>
      </c>
      <c r="AJ9" s="67"/>
      <c r="AK9" s="96">
        <f>AJ9/AI9</f>
        <v>0</v>
      </c>
      <c r="AL9" s="67">
        <v>200</v>
      </c>
      <c r="AM9" s="67"/>
      <c r="AN9" s="96">
        <f>AM9/AL9</f>
        <v>0</v>
      </c>
      <c r="AO9" s="67">
        <v>200</v>
      </c>
      <c r="AP9" s="67"/>
      <c r="AQ9" s="96">
        <f>AP9/AO9</f>
        <v>0</v>
      </c>
      <c r="AR9" s="67">
        <f>Z9+AC9+AF9+AI9+AL9+AO9</f>
        <v>1200</v>
      </c>
      <c r="AS9" s="67">
        <f>AA9+AD9+AG9+AJ9+AM9+AP9</f>
        <v>0</v>
      </c>
      <c r="AT9" s="96">
        <f>AS9/AR9</f>
        <v>0</v>
      </c>
      <c r="AU9" s="67">
        <f t="shared" si="1"/>
        <v>2400</v>
      </c>
      <c r="AV9" s="67">
        <f t="shared" si="1"/>
        <v>200</v>
      </c>
      <c r="AW9" s="101">
        <f>AV9/AU9</f>
        <v>8.3333333333333329E-2</v>
      </c>
      <c r="AX9" s="191"/>
      <c r="BA9" s="54"/>
    </row>
    <row r="10" spans="1:53" ht="80.25" customHeight="1" outlineLevel="1">
      <c r="B10" s="201" t="s">
        <v>2</v>
      </c>
      <c r="C10" s="202"/>
      <c r="D10" s="203"/>
      <c r="E10" s="76"/>
      <c r="F10" s="67">
        <v>60</v>
      </c>
      <c r="G10" s="96" t="e">
        <f>F10/E10</f>
        <v>#DIV/0!</v>
      </c>
      <c r="H10" s="72"/>
      <c r="I10" s="67">
        <v>0</v>
      </c>
      <c r="J10" s="96" t="e">
        <f>I10/H10</f>
        <v>#DIV/0!</v>
      </c>
      <c r="K10" s="67"/>
      <c r="L10" s="67">
        <v>30</v>
      </c>
      <c r="M10" s="96" t="e">
        <f>L10/K10</f>
        <v>#DIV/0!</v>
      </c>
      <c r="N10" s="67"/>
      <c r="O10" s="67"/>
      <c r="P10" s="96" t="e">
        <f>O10/N10</f>
        <v>#DIV/0!</v>
      </c>
      <c r="Q10" s="67"/>
      <c r="R10" s="67"/>
      <c r="S10" s="96" t="e">
        <f>R10/Q10</f>
        <v>#DIV/0!</v>
      </c>
      <c r="T10" s="67"/>
      <c r="U10" s="67"/>
      <c r="V10" s="96" t="e">
        <f>U10/T10</f>
        <v>#DIV/0!</v>
      </c>
      <c r="W10" s="67">
        <f t="shared" si="0"/>
        <v>0</v>
      </c>
      <c r="X10" s="67">
        <f t="shared" si="0"/>
        <v>90</v>
      </c>
      <c r="Y10" s="96" t="e">
        <f>X10/W10</f>
        <v>#DIV/0!</v>
      </c>
      <c r="Z10" s="67"/>
      <c r="AA10" s="67"/>
      <c r="AB10" s="96" t="e">
        <f>AA10/Z10</f>
        <v>#DIV/0!</v>
      </c>
      <c r="AC10" s="67"/>
      <c r="AD10" s="67"/>
      <c r="AE10" s="96" t="e">
        <f>AD10/AC10</f>
        <v>#DIV/0!</v>
      </c>
      <c r="AF10" s="67"/>
      <c r="AG10" s="67"/>
      <c r="AH10" s="96" t="e">
        <f>AG10/AF10</f>
        <v>#DIV/0!</v>
      </c>
      <c r="AI10" s="67"/>
      <c r="AJ10" s="67"/>
      <c r="AK10" s="96" t="e">
        <f>AJ10/AI10</f>
        <v>#DIV/0!</v>
      </c>
      <c r="AL10" s="67"/>
      <c r="AM10" s="67"/>
      <c r="AN10" s="96" t="e">
        <f>AM10/AL10</f>
        <v>#DIV/0!</v>
      </c>
      <c r="AO10" s="67"/>
      <c r="AP10" s="67"/>
      <c r="AQ10" s="96" t="e">
        <f>AP10/AO10</f>
        <v>#DIV/0!</v>
      </c>
      <c r="AR10" s="67">
        <f>Z10+AC10+AF10+AI10+AL10+AO10</f>
        <v>0</v>
      </c>
      <c r="AS10" s="67">
        <f>AA10+AD10+AG10+AJ10+AM10+AP10</f>
        <v>0</v>
      </c>
      <c r="AT10" s="96" t="e">
        <f>AS10/AR10</f>
        <v>#DIV/0!</v>
      </c>
      <c r="AU10" s="67">
        <f t="shared" si="1"/>
        <v>0</v>
      </c>
      <c r="AV10" s="67">
        <f t="shared" si="1"/>
        <v>90</v>
      </c>
      <c r="AW10" s="101" t="e">
        <f>AV10/AU10</f>
        <v>#DIV/0!</v>
      </c>
      <c r="BA10" s="54"/>
    </row>
    <row r="11" spans="1:53" ht="80.25" customHeight="1" outlineLevel="1">
      <c r="B11" s="201" t="s">
        <v>42</v>
      </c>
      <c r="C11" s="202"/>
      <c r="D11" s="203"/>
      <c r="E11" s="77"/>
      <c r="F11" s="67">
        <v>70</v>
      </c>
      <c r="G11" s="96" t="e">
        <f>F11/E11</f>
        <v>#DIV/0!</v>
      </c>
      <c r="H11" s="73"/>
      <c r="I11" s="71">
        <v>65</v>
      </c>
      <c r="J11" s="96" t="e">
        <f>I11/H11</f>
        <v>#DIV/0!</v>
      </c>
      <c r="K11" s="71"/>
      <c r="L11" s="71">
        <v>65</v>
      </c>
      <c r="M11" s="96" t="e">
        <f>L11/K11</f>
        <v>#DIV/0!</v>
      </c>
      <c r="N11" s="71"/>
      <c r="O11" s="71"/>
      <c r="P11" s="96" t="e">
        <f>O11/N11</f>
        <v>#DIV/0!</v>
      </c>
      <c r="Q11" s="71"/>
      <c r="R11" s="71"/>
      <c r="S11" s="96" t="e">
        <f>R11/Q11</f>
        <v>#DIV/0!</v>
      </c>
      <c r="T11" s="71"/>
      <c r="U11" s="71"/>
      <c r="V11" s="96" t="e">
        <f>U11/T11</f>
        <v>#DIV/0!</v>
      </c>
      <c r="W11" s="71"/>
      <c r="X11" s="71">
        <f>F11+I11+L11+O11+R11+U11</f>
        <v>200</v>
      </c>
      <c r="Y11" s="96" t="e">
        <f>X11/W11</f>
        <v>#DIV/0!</v>
      </c>
      <c r="Z11" s="71"/>
      <c r="AA11" s="71"/>
      <c r="AB11" s="96" t="e">
        <f>AA11/Z11</f>
        <v>#DIV/0!</v>
      </c>
      <c r="AC11" s="71"/>
      <c r="AD11" s="71"/>
      <c r="AE11" s="96" t="e">
        <f>AD11/AC11</f>
        <v>#DIV/0!</v>
      </c>
      <c r="AF11" s="71"/>
      <c r="AG11" s="71"/>
      <c r="AH11" s="96" t="e">
        <f>AG11/AF11</f>
        <v>#DIV/0!</v>
      </c>
      <c r="AI11" s="71"/>
      <c r="AJ11" s="71"/>
      <c r="AK11" s="96" t="e">
        <f>AJ11/AI11</f>
        <v>#DIV/0!</v>
      </c>
      <c r="AL11" s="71"/>
      <c r="AM11" s="71"/>
      <c r="AN11" s="96" t="e">
        <f>AM11/AL11</f>
        <v>#DIV/0!</v>
      </c>
      <c r="AO11" s="71"/>
      <c r="AP11" s="71"/>
      <c r="AQ11" s="96" t="e">
        <f>AP11/AO11</f>
        <v>#DIV/0!</v>
      </c>
      <c r="AR11" s="71"/>
      <c r="AS11" s="71">
        <f>AA11+AD11+AG11+AJ11+AM11+AP11</f>
        <v>0</v>
      </c>
      <c r="AT11" s="96" t="e">
        <f>AS11/AR11</f>
        <v>#DIV/0!</v>
      </c>
      <c r="AU11" s="71">
        <f t="shared" si="1"/>
        <v>0</v>
      </c>
      <c r="AV11" s="71">
        <f t="shared" si="1"/>
        <v>200</v>
      </c>
      <c r="AW11" s="101" t="e">
        <f>AV11/AU11</f>
        <v>#DIV/0!</v>
      </c>
      <c r="BA11" s="54"/>
    </row>
    <row r="12" spans="1:53" ht="80.25" customHeight="1">
      <c r="B12" s="241" t="s">
        <v>15</v>
      </c>
      <c r="C12" s="242"/>
      <c r="D12" s="243"/>
      <c r="E12" s="84">
        <f t="shared" ref="E12:R12" si="2">E8+E9+E10+E11</f>
        <v>1100</v>
      </c>
      <c r="F12" s="90">
        <f>F8+F9+F10+F11</f>
        <v>530</v>
      </c>
      <c r="G12" s="91">
        <f>F12/E12</f>
        <v>0.48181818181818181</v>
      </c>
      <c r="H12" s="85">
        <f t="shared" si="2"/>
        <v>1100</v>
      </c>
      <c r="I12" s="86">
        <f t="shared" si="2"/>
        <v>265</v>
      </c>
      <c r="J12" s="91">
        <f>I12/H12</f>
        <v>0.24090909090909091</v>
      </c>
      <c r="K12" s="86">
        <f t="shared" si="2"/>
        <v>1100</v>
      </c>
      <c r="L12" s="86">
        <f>L8+L9+L10+L11</f>
        <v>95</v>
      </c>
      <c r="M12" s="91">
        <f>L12/K12</f>
        <v>8.6363636363636365E-2</v>
      </c>
      <c r="N12" s="86">
        <f t="shared" si="2"/>
        <v>1100</v>
      </c>
      <c r="O12" s="86">
        <f t="shared" si="2"/>
        <v>0</v>
      </c>
      <c r="P12" s="91">
        <f>O12/N12</f>
        <v>0</v>
      </c>
      <c r="Q12" s="86">
        <f t="shared" si="2"/>
        <v>1100</v>
      </c>
      <c r="R12" s="86">
        <f t="shared" si="2"/>
        <v>0</v>
      </c>
      <c r="S12" s="91">
        <f>R12/Q12</f>
        <v>0</v>
      </c>
      <c r="T12" s="86">
        <f t="shared" ref="T12" si="3">T8+T9+T10</f>
        <v>1100</v>
      </c>
      <c r="U12" s="86">
        <f>U8+U9+U10</f>
        <v>0</v>
      </c>
      <c r="V12" s="91">
        <f>U12/T12</f>
        <v>0</v>
      </c>
      <c r="W12" s="86">
        <f t="shared" ref="W12:AV12" si="4">W8+W9+W10+W11</f>
        <v>6600</v>
      </c>
      <c r="X12" s="86">
        <f>X8+X9+X10+X11</f>
        <v>890</v>
      </c>
      <c r="Y12" s="96">
        <f>X12/W12</f>
        <v>0.13484848484848486</v>
      </c>
      <c r="Z12" s="86">
        <f t="shared" si="4"/>
        <v>1100</v>
      </c>
      <c r="AA12" s="86">
        <f t="shared" si="4"/>
        <v>0</v>
      </c>
      <c r="AB12" s="91">
        <f>AA12/Z12</f>
        <v>0</v>
      </c>
      <c r="AC12" s="86">
        <f t="shared" si="4"/>
        <v>1100</v>
      </c>
      <c r="AD12" s="86">
        <f t="shared" ref="AD12" si="5">AD8+AD9+AD10+AD11</f>
        <v>0</v>
      </c>
      <c r="AE12" s="91">
        <f>AD12/AC12</f>
        <v>0</v>
      </c>
      <c r="AF12" s="86">
        <f t="shared" si="4"/>
        <v>1100</v>
      </c>
      <c r="AG12" s="86">
        <f t="shared" si="4"/>
        <v>0</v>
      </c>
      <c r="AH12" s="91">
        <f>AG12/AF12</f>
        <v>0</v>
      </c>
      <c r="AI12" s="86">
        <f t="shared" si="4"/>
        <v>1100</v>
      </c>
      <c r="AJ12" s="86">
        <f t="shared" ref="AJ12" si="6">AJ8+AJ9+AJ10+AJ11</f>
        <v>0</v>
      </c>
      <c r="AK12" s="91">
        <f>AJ12/AI12</f>
        <v>0</v>
      </c>
      <c r="AL12" s="86">
        <f t="shared" si="4"/>
        <v>1100</v>
      </c>
      <c r="AM12" s="86">
        <f t="shared" si="4"/>
        <v>0</v>
      </c>
      <c r="AN12" s="91">
        <f>AM12/AL12</f>
        <v>0</v>
      </c>
      <c r="AO12" s="86">
        <f t="shared" si="4"/>
        <v>1100</v>
      </c>
      <c r="AP12" s="86">
        <f t="shared" ref="AP12" si="7">AP8+AP9+AP10+AP11</f>
        <v>0</v>
      </c>
      <c r="AQ12" s="91">
        <f>AP12/AO12</f>
        <v>0</v>
      </c>
      <c r="AR12" s="86">
        <f t="shared" si="4"/>
        <v>6600</v>
      </c>
      <c r="AS12" s="86">
        <f>AS8+AS9+AS10+AS11</f>
        <v>0</v>
      </c>
      <c r="AT12" s="96">
        <f>AS12/AR12</f>
        <v>0</v>
      </c>
      <c r="AU12" s="86">
        <f t="shared" si="4"/>
        <v>13200</v>
      </c>
      <c r="AV12" s="86">
        <f t="shared" si="4"/>
        <v>890</v>
      </c>
      <c r="AW12" s="101">
        <f>AV12/AU12</f>
        <v>6.7424242424242428E-2</v>
      </c>
      <c r="AX12" s="191"/>
      <c r="AY12" s="191"/>
      <c r="BA12" s="54"/>
    </row>
    <row r="13" spans="1:53" ht="80.25" customHeight="1" outlineLevel="1">
      <c r="B13" s="244" t="s">
        <v>8</v>
      </c>
      <c r="C13" s="245"/>
      <c r="D13" s="246"/>
      <c r="E13" s="106" t="s">
        <v>5</v>
      </c>
      <c r="F13" s="107" t="s">
        <v>4</v>
      </c>
      <c r="G13" s="108" t="s">
        <v>56</v>
      </c>
      <c r="H13" s="109" t="s">
        <v>5</v>
      </c>
      <c r="I13" s="110" t="s">
        <v>4</v>
      </c>
      <c r="J13" s="108" t="s">
        <v>56</v>
      </c>
      <c r="K13" s="110" t="s">
        <v>5</v>
      </c>
      <c r="L13" s="110" t="s">
        <v>4</v>
      </c>
      <c r="M13" s="108" t="s">
        <v>56</v>
      </c>
      <c r="N13" s="110" t="s">
        <v>5</v>
      </c>
      <c r="O13" s="110" t="s">
        <v>4</v>
      </c>
      <c r="P13" s="108" t="s">
        <v>56</v>
      </c>
      <c r="Q13" s="110" t="s">
        <v>5</v>
      </c>
      <c r="R13" s="110" t="s">
        <v>4</v>
      </c>
      <c r="S13" s="108" t="s">
        <v>56</v>
      </c>
      <c r="T13" s="110" t="s">
        <v>5</v>
      </c>
      <c r="U13" s="110" t="s">
        <v>4</v>
      </c>
      <c r="V13" s="108" t="s">
        <v>56</v>
      </c>
      <c r="W13" s="110" t="s">
        <v>5</v>
      </c>
      <c r="X13" s="110" t="s">
        <v>4</v>
      </c>
      <c r="Y13" s="108" t="s">
        <v>56</v>
      </c>
      <c r="Z13" s="110" t="s">
        <v>5</v>
      </c>
      <c r="AA13" s="110" t="s">
        <v>4</v>
      </c>
      <c r="AB13" s="108" t="s">
        <v>56</v>
      </c>
      <c r="AC13" s="110" t="s">
        <v>5</v>
      </c>
      <c r="AD13" s="110" t="s">
        <v>4</v>
      </c>
      <c r="AE13" s="108" t="s">
        <v>56</v>
      </c>
      <c r="AF13" s="110" t="s">
        <v>5</v>
      </c>
      <c r="AG13" s="110" t="s">
        <v>4</v>
      </c>
      <c r="AH13" s="108" t="s">
        <v>56</v>
      </c>
      <c r="AI13" s="110" t="s">
        <v>5</v>
      </c>
      <c r="AJ13" s="110" t="s">
        <v>4</v>
      </c>
      <c r="AK13" s="108" t="s">
        <v>56</v>
      </c>
      <c r="AL13" s="110" t="s">
        <v>5</v>
      </c>
      <c r="AM13" s="110" t="s">
        <v>4</v>
      </c>
      <c r="AN13" s="108" t="s">
        <v>56</v>
      </c>
      <c r="AO13" s="110" t="s">
        <v>5</v>
      </c>
      <c r="AP13" s="110" t="s">
        <v>4</v>
      </c>
      <c r="AQ13" s="108" t="s">
        <v>56</v>
      </c>
      <c r="AR13" s="110" t="s">
        <v>5</v>
      </c>
      <c r="AS13" s="110" t="s">
        <v>4</v>
      </c>
      <c r="AT13" s="108" t="s">
        <v>56</v>
      </c>
      <c r="AU13" s="110" t="s">
        <v>5</v>
      </c>
      <c r="AV13" s="110" t="s">
        <v>4</v>
      </c>
      <c r="AW13" s="108" t="s">
        <v>56</v>
      </c>
      <c r="BA13" s="54"/>
    </row>
    <row r="14" spans="1:53" ht="80.25" customHeight="1">
      <c r="B14" s="207" t="s">
        <v>7</v>
      </c>
      <c r="C14" s="208"/>
      <c r="D14" s="209"/>
      <c r="E14" s="79">
        <v>0</v>
      </c>
      <c r="F14" s="70">
        <v>90</v>
      </c>
      <c r="G14" s="96" t="e">
        <f>F14/E14</f>
        <v>#DIV/0!</v>
      </c>
      <c r="H14" s="75">
        <v>400</v>
      </c>
      <c r="I14" s="70">
        <v>80</v>
      </c>
      <c r="J14" s="96">
        <f>I14/H14</f>
        <v>0.2</v>
      </c>
      <c r="K14" s="70">
        <v>0</v>
      </c>
      <c r="L14" s="70"/>
      <c r="M14" s="96" t="e">
        <f>L14/K14</f>
        <v>#DIV/0!</v>
      </c>
      <c r="N14" s="70">
        <v>400</v>
      </c>
      <c r="O14" s="70"/>
      <c r="P14" s="96">
        <f>O14/N14</f>
        <v>0</v>
      </c>
      <c r="Q14" s="70">
        <v>0</v>
      </c>
      <c r="R14" s="70"/>
      <c r="S14" s="96" t="e">
        <f>R14/Q14</f>
        <v>#DIV/0!</v>
      </c>
      <c r="T14" s="70">
        <v>400</v>
      </c>
      <c r="U14" s="70"/>
      <c r="V14" s="96">
        <f>U14/T14</f>
        <v>0</v>
      </c>
      <c r="W14" s="70">
        <f t="shared" ref="W14:X16" si="8">E14+H14+K14+N14+Q14+T14</f>
        <v>1200</v>
      </c>
      <c r="X14" s="70">
        <f t="shared" si="8"/>
        <v>170</v>
      </c>
      <c r="Y14" s="96">
        <f>X14/W14</f>
        <v>0.14166666666666666</v>
      </c>
      <c r="Z14" s="70">
        <v>0</v>
      </c>
      <c r="AA14" s="70"/>
      <c r="AB14" s="96" t="e">
        <f>AA14/Z14</f>
        <v>#DIV/0!</v>
      </c>
      <c r="AC14" s="70">
        <v>400</v>
      </c>
      <c r="AD14" s="70"/>
      <c r="AE14" s="96">
        <f>AD14/AC14</f>
        <v>0</v>
      </c>
      <c r="AF14" s="70">
        <v>0</v>
      </c>
      <c r="AG14" s="70"/>
      <c r="AH14" s="96" t="e">
        <f>AG14/AF14</f>
        <v>#DIV/0!</v>
      </c>
      <c r="AI14" s="70">
        <v>400</v>
      </c>
      <c r="AJ14" s="70"/>
      <c r="AK14" s="96">
        <f>AJ14/AI14</f>
        <v>0</v>
      </c>
      <c r="AL14" s="70">
        <v>0</v>
      </c>
      <c r="AM14" s="70"/>
      <c r="AN14" s="96" t="e">
        <f>AM14/AL14</f>
        <v>#DIV/0!</v>
      </c>
      <c r="AO14" s="70">
        <v>400</v>
      </c>
      <c r="AP14" s="70"/>
      <c r="AQ14" s="96">
        <f>AP14/AO14</f>
        <v>0</v>
      </c>
      <c r="AR14" s="70">
        <f t="shared" ref="AR14:AS16" si="9">Z14+AC14+AF14+AI14+AL14+AO14</f>
        <v>1200</v>
      </c>
      <c r="AS14" s="70">
        <f t="shared" si="9"/>
        <v>0</v>
      </c>
      <c r="AT14" s="96">
        <f>AS14/AR14</f>
        <v>0</v>
      </c>
      <c r="AU14" s="70">
        <f t="shared" ref="AU14:AV16" si="10">W14+AR14</f>
        <v>2400</v>
      </c>
      <c r="AV14" s="70">
        <f t="shared" si="10"/>
        <v>170</v>
      </c>
      <c r="AW14" s="101">
        <f>AV14/AU14</f>
        <v>7.0833333333333331E-2</v>
      </c>
      <c r="AX14" s="191"/>
      <c r="BA14" s="54"/>
    </row>
    <row r="15" spans="1:53" ht="80.25" customHeight="1">
      <c r="B15" s="201" t="s">
        <v>1</v>
      </c>
      <c r="C15" s="202"/>
      <c r="D15" s="203"/>
      <c r="E15" s="76">
        <v>0</v>
      </c>
      <c r="F15" s="67"/>
      <c r="G15" s="96" t="e">
        <f>F15/E15</f>
        <v>#DIV/0!</v>
      </c>
      <c r="H15" s="72">
        <v>0</v>
      </c>
      <c r="I15" s="67">
        <v>0</v>
      </c>
      <c r="J15" s="96" t="e">
        <f>I15/H15</f>
        <v>#DIV/0!</v>
      </c>
      <c r="K15" s="67">
        <v>0</v>
      </c>
      <c r="L15" s="67"/>
      <c r="M15" s="96" t="e">
        <f>L15/K15</f>
        <v>#DIV/0!</v>
      </c>
      <c r="N15" s="67">
        <v>0</v>
      </c>
      <c r="O15" s="67"/>
      <c r="P15" s="96" t="e">
        <f>O15/N15</f>
        <v>#DIV/0!</v>
      </c>
      <c r="Q15" s="67">
        <v>0</v>
      </c>
      <c r="R15" s="67"/>
      <c r="S15" s="96" t="e">
        <f>R15/Q15</f>
        <v>#DIV/0!</v>
      </c>
      <c r="T15" s="67">
        <v>0</v>
      </c>
      <c r="U15" s="67"/>
      <c r="V15" s="96" t="e">
        <f>U15/T15</f>
        <v>#DIV/0!</v>
      </c>
      <c r="W15" s="67">
        <f t="shared" si="8"/>
        <v>0</v>
      </c>
      <c r="X15" s="67">
        <f t="shared" si="8"/>
        <v>0</v>
      </c>
      <c r="Y15" s="96" t="e">
        <f>X15/W15</f>
        <v>#DIV/0!</v>
      </c>
      <c r="Z15" s="67">
        <v>0</v>
      </c>
      <c r="AA15" s="67"/>
      <c r="AB15" s="96" t="e">
        <f>AA15/Z15</f>
        <v>#DIV/0!</v>
      </c>
      <c r="AC15" s="67">
        <v>0</v>
      </c>
      <c r="AD15" s="67"/>
      <c r="AE15" s="96" t="e">
        <f>AD15/AC15</f>
        <v>#DIV/0!</v>
      </c>
      <c r="AF15" s="67">
        <v>0</v>
      </c>
      <c r="AG15" s="67"/>
      <c r="AH15" s="96" t="e">
        <f>AG15/AF15</f>
        <v>#DIV/0!</v>
      </c>
      <c r="AI15" s="67">
        <v>0</v>
      </c>
      <c r="AJ15" s="67"/>
      <c r="AK15" s="96" t="e">
        <f>AJ15/AI15</f>
        <v>#DIV/0!</v>
      </c>
      <c r="AL15" s="67">
        <v>0</v>
      </c>
      <c r="AM15" s="67"/>
      <c r="AN15" s="96" t="e">
        <f>AM15/AL15</f>
        <v>#DIV/0!</v>
      </c>
      <c r="AO15" s="67">
        <v>0</v>
      </c>
      <c r="AP15" s="67"/>
      <c r="AQ15" s="96" t="e">
        <f>AP15/AO15</f>
        <v>#DIV/0!</v>
      </c>
      <c r="AR15" s="67">
        <f t="shared" si="9"/>
        <v>0</v>
      </c>
      <c r="AS15" s="67">
        <f t="shared" si="9"/>
        <v>0</v>
      </c>
      <c r="AT15" s="96" t="e">
        <f>AS15/AR15</f>
        <v>#DIV/0!</v>
      </c>
      <c r="AU15" s="67">
        <f t="shared" si="10"/>
        <v>0</v>
      </c>
      <c r="AV15" s="67">
        <f t="shared" si="10"/>
        <v>0</v>
      </c>
      <c r="AW15" s="101" t="e">
        <f>AV15/AU15</f>
        <v>#DIV/0!</v>
      </c>
      <c r="AX15" s="191"/>
      <c r="BA15" s="54"/>
    </row>
    <row r="16" spans="1:53" ht="80.25" customHeight="1">
      <c r="B16" s="201" t="s">
        <v>16</v>
      </c>
      <c r="C16" s="202"/>
      <c r="D16" s="203"/>
      <c r="E16" s="76">
        <v>0</v>
      </c>
      <c r="F16" s="67"/>
      <c r="G16" s="96" t="e">
        <f>F16/E16</f>
        <v>#DIV/0!</v>
      </c>
      <c r="H16" s="72">
        <v>0</v>
      </c>
      <c r="I16" s="67">
        <v>0</v>
      </c>
      <c r="J16" s="96" t="e">
        <f>I16/H16</f>
        <v>#DIV/0!</v>
      </c>
      <c r="K16" s="67">
        <v>0</v>
      </c>
      <c r="L16" s="67"/>
      <c r="M16" s="96" t="e">
        <f>L16/K16</f>
        <v>#DIV/0!</v>
      </c>
      <c r="N16" s="67">
        <v>0</v>
      </c>
      <c r="O16" s="67"/>
      <c r="P16" s="96" t="e">
        <f>O16/N16</f>
        <v>#DIV/0!</v>
      </c>
      <c r="Q16" s="67">
        <v>0</v>
      </c>
      <c r="R16" s="67"/>
      <c r="S16" s="96" t="e">
        <f>R16/Q16</f>
        <v>#DIV/0!</v>
      </c>
      <c r="T16" s="67">
        <v>0</v>
      </c>
      <c r="U16" s="67"/>
      <c r="V16" s="96" t="e">
        <f>U16/T16</f>
        <v>#DIV/0!</v>
      </c>
      <c r="W16" s="67">
        <f t="shared" si="8"/>
        <v>0</v>
      </c>
      <c r="X16" s="67">
        <f t="shared" si="8"/>
        <v>0</v>
      </c>
      <c r="Y16" s="96" t="e">
        <f>X16/W16</f>
        <v>#DIV/0!</v>
      </c>
      <c r="Z16" s="67">
        <v>0</v>
      </c>
      <c r="AA16" s="67"/>
      <c r="AB16" s="96" t="e">
        <f>AA16/Z16</f>
        <v>#DIV/0!</v>
      </c>
      <c r="AC16" s="67">
        <v>0</v>
      </c>
      <c r="AD16" s="67"/>
      <c r="AE16" s="96" t="e">
        <f>AD16/AC16</f>
        <v>#DIV/0!</v>
      </c>
      <c r="AF16" s="67">
        <v>0</v>
      </c>
      <c r="AG16" s="67"/>
      <c r="AH16" s="96" t="e">
        <f>AG16/AF16</f>
        <v>#DIV/0!</v>
      </c>
      <c r="AI16" s="67">
        <v>0</v>
      </c>
      <c r="AJ16" s="67"/>
      <c r="AK16" s="96" t="e">
        <f>AJ16/AI16</f>
        <v>#DIV/0!</v>
      </c>
      <c r="AL16" s="67">
        <v>0</v>
      </c>
      <c r="AM16" s="67"/>
      <c r="AN16" s="96" t="e">
        <f>AM16/AL16</f>
        <v>#DIV/0!</v>
      </c>
      <c r="AO16" s="67">
        <v>0</v>
      </c>
      <c r="AP16" s="67"/>
      <c r="AQ16" s="96" t="e">
        <f>AP16/AO16</f>
        <v>#DIV/0!</v>
      </c>
      <c r="AR16" s="67">
        <f t="shared" si="9"/>
        <v>0</v>
      </c>
      <c r="AS16" s="67">
        <f t="shared" si="9"/>
        <v>0</v>
      </c>
      <c r="AT16" s="96" t="e">
        <f>AS16/AR16</f>
        <v>#DIV/0!</v>
      </c>
      <c r="AU16" s="67">
        <f t="shared" si="10"/>
        <v>0</v>
      </c>
      <c r="AV16" s="67">
        <f t="shared" si="10"/>
        <v>0</v>
      </c>
      <c r="AW16" s="101" t="e">
        <f>AV16/AU16</f>
        <v>#DIV/0!</v>
      </c>
      <c r="AX16" s="191"/>
      <c r="BA16" s="54"/>
    </row>
    <row r="17" spans="1:59" ht="80.25" customHeight="1">
      <c r="B17" s="250" t="s">
        <v>15</v>
      </c>
      <c r="C17" s="251"/>
      <c r="D17" s="252"/>
      <c r="E17" s="84">
        <f t="shared" ref="E17:AV17" si="11">SUM(E14:E16)</f>
        <v>0</v>
      </c>
      <c r="F17" s="86">
        <f t="shared" si="11"/>
        <v>90</v>
      </c>
      <c r="G17" s="96" t="e">
        <f>F17/E17</f>
        <v>#DIV/0!</v>
      </c>
      <c r="H17" s="85">
        <f t="shared" si="11"/>
        <v>400</v>
      </c>
      <c r="I17" s="86">
        <f t="shared" si="11"/>
        <v>80</v>
      </c>
      <c r="J17" s="96">
        <f>I17/H17</f>
        <v>0.2</v>
      </c>
      <c r="K17" s="86">
        <f t="shared" si="11"/>
        <v>0</v>
      </c>
      <c r="L17" s="86">
        <f t="shared" si="11"/>
        <v>0</v>
      </c>
      <c r="M17" s="96" t="e">
        <f>L17/K17</f>
        <v>#DIV/0!</v>
      </c>
      <c r="N17" s="86">
        <f t="shared" si="11"/>
        <v>400</v>
      </c>
      <c r="O17" s="86">
        <f t="shared" si="11"/>
        <v>0</v>
      </c>
      <c r="P17" s="96">
        <f>O17/N17</f>
        <v>0</v>
      </c>
      <c r="Q17" s="86">
        <f t="shared" si="11"/>
        <v>0</v>
      </c>
      <c r="R17" s="86">
        <f t="shared" si="11"/>
        <v>0</v>
      </c>
      <c r="S17" s="96" t="e">
        <f>R17/Q17</f>
        <v>#DIV/0!</v>
      </c>
      <c r="T17" s="86">
        <f t="shared" si="11"/>
        <v>400</v>
      </c>
      <c r="U17" s="86">
        <f t="shared" si="11"/>
        <v>0</v>
      </c>
      <c r="V17" s="96">
        <f>U17/T17</f>
        <v>0</v>
      </c>
      <c r="W17" s="86">
        <f t="shared" si="11"/>
        <v>1200</v>
      </c>
      <c r="X17" s="86">
        <f t="shared" si="11"/>
        <v>170</v>
      </c>
      <c r="Y17" s="96">
        <f>X17/W17</f>
        <v>0.14166666666666666</v>
      </c>
      <c r="Z17" s="86">
        <f t="shared" si="11"/>
        <v>0</v>
      </c>
      <c r="AA17" s="86">
        <f t="shared" ref="AA17" si="12">SUM(AA14:AA16)</f>
        <v>0</v>
      </c>
      <c r="AB17" s="96" t="e">
        <f>AA17/Z17</f>
        <v>#DIV/0!</v>
      </c>
      <c r="AC17" s="86">
        <f t="shared" si="11"/>
        <v>400</v>
      </c>
      <c r="AD17" s="86">
        <f t="shared" si="11"/>
        <v>0</v>
      </c>
      <c r="AE17" s="96">
        <f>AD17/AC17</f>
        <v>0</v>
      </c>
      <c r="AF17" s="86">
        <f t="shared" si="11"/>
        <v>0</v>
      </c>
      <c r="AG17" s="86">
        <f t="shared" ref="AG17" si="13">SUM(AG14:AG16)</f>
        <v>0</v>
      </c>
      <c r="AH17" s="96" t="e">
        <f>AG17/AF17</f>
        <v>#DIV/0!</v>
      </c>
      <c r="AI17" s="86">
        <f t="shared" si="11"/>
        <v>400</v>
      </c>
      <c r="AJ17" s="86">
        <f t="shared" si="11"/>
        <v>0</v>
      </c>
      <c r="AK17" s="96">
        <f>AJ17/AI17</f>
        <v>0</v>
      </c>
      <c r="AL17" s="86">
        <f t="shared" si="11"/>
        <v>0</v>
      </c>
      <c r="AM17" s="86">
        <f t="shared" ref="AM17" si="14">SUM(AM14:AM16)</f>
        <v>0</v>
      </c>
      <c r="AN17" s="96" t="e">
        <f>AM17/AL17</f>
        <v>#DIV/0!</v>
      </c>
      <c r="AO17" s="86">
        <f t="shared" si="11"/>
        <v>400</v>
      </c>
      <c r="AP17" s="86">
        <f t="shared" si="11"/>
        <v>0</v>
      </c>
      <c r="AQ17" s="96">
        <f>AP17/AO17</f>
        <v>0</v>
      </c>
      <c r="AR17" s="86">
        <f t="shared" si="11"/>
        <v>1200</v>
      </c>
      <c r="AS17" s="86">
        <f t="shared" ref="AS17" si="15">SUM(AS14:AS16)</f>
        <v>0</v>
      </c>
      <c r="AT17" s="96">
        <f>AS17/AR17</f>
        <v>0</v>
      </c>
      <c r="AU17" s="86">
        <f t="shared" si="11"/>
        <v>2400</v>
      </c>
      <c r="AV17" s="86">
        <f t="shared" si="11"/>
        <v>170</v>
      </c>
      <c r="AW17" s="101">
        <f>AV17/AU17</f>
        <v>7.0833333333333331E-2</v>
      </c>
      <c r="AX17" s="65"/>
      <c r="AY17" s="65"/>
      <c r="BA17" s="54"/>
    </row>
    <row r="18" spans="1:59" ht="80.25" customHeight="1">
      <c r="B18" s="224" t="s">
        <v>17</v>
      </c>
      <c r="C18" s="225"/>
      <c r="D18" s="226"/>
      <c r="E18" s="112" t="s">
        <v>5</v>
      </c>
      <c r="F18" s="113" t="s">
        <v>4</v>
      </c>
      <c r="G18" s="114" t="s">
        <v>56</v>
      </c>
      <c r="H18" s="115" t="s">
        <v>5</v>
      </c>
      <c r="I18" s="116" t="s">
        <v>4</v>
      </c>
      <c r="J18" s="114" t="s">
        <v>56</v>
      </c>
      <c r="K18" s="116" t="s">
        <v>5</v>
      </c>
      <c r="L18" s="116" t="s">
        <v>4</v>
      </c>
      <c r="M18" s="114" t="s">
        <v>56</v>
      </c>
      <c r="N18" s="116" t="s">
        <v>5</v>
      </c>
      <c r="O18" s="116" t="s">
        <v>4</v>
      </c>
      <c r="P18" s="114" t="s">
        <v>56</v>
      </c>
      <c r="Q18" s="116" t="s">
        <v>5</v>
      </c>
      <c r="R18" s="116" t="s">
        <v>4</v>
      </c>
      <c r="S18" s="114" t="s">
        <v>56</v>
      </c>
      <c r="T18" s="116" t="s">
        <v>5</v>
      </c>
      <c r="U18" s="116" t="s">
        <v>4</v>
      </c>
      <c r="V18" s="114" t="s">
        <v>56</v>
      </c>
      <c r="W18" s="116" t="s">
        <v>5</v>
      </c>
      <c r="X18" s="116" t="s">
        <v>4</v>
      </c>
      <c r="Y18" s="114" t="s">
        <v>56</v>
      </c>
      <c r="Z18" s="116" t="s">
        <v>5</v>
      </c>
      <c r="AA18" s="116" t="s">
        <v>4</v>
      </c>
      <c r="AB18" s="114" t="s">
        <v>56</v>
      </c>
      <c r="AC18" s="116" t="s">
        <v>5</v>
      </c>
      <c r="AD18" s="116" t="s">
        <v>4</v>
      </c>
      <c r="AE18" s="114" t="s">
        <v>56</v>
      </c>
      <c r="AF18" s="116" t="s">
        <v>5</v>
      </c>
      <c r="AG18" s="116" t="s">
        <v>4</v>
      </c>
      <c r="AH18" s="114" t="s">
        <v>56</v>
      </c>
      <c r="AI18" s="116" t="s">
        <v>5</v>
      </c>
      <c r="AJ18" s="116" t="s">
        <v>4</v>
      </c>
      <c r="AK18" s="114" t="s">
        <v>56</v>
      </c>
      <c r="AL18" s="116" t="s">
        <v>5</v>
      </c>
      <c r="AM18" s="116" t="s">
        <v>4</v>
      </c>
      <c r="AN18" s="114" t="s">
        <v>56</v>
      </c>
      <c r="AO18" s="116" t="s">
        <v>5</v>
      </c>
      <c r="AP18" s="116" t="s">
        <v>4</v>
      </c>
      <c r="AQ18" s="114" t="s">
        <v>56</v>
      </c>
      <c r="AR18" s="116" t="s">
        <v>5</v>
      </c>
      <c r="AS18" s="116" t="s">
        <v>4</v>
      </c>
      <c r="AT18" s="114" t="s">
        <v>56</v>
      </c>
      <c r="AU18" s="116" t="s">
        <v>5</v>
      </c>
      <c r="AV18" s="116" t="s">
        <v>4</v>
      </c>
      <c r="AW18" s="114" t="s">
        <v>56</v>
      </c>
      <c r="AX18" s="65"/>
      <c r="AY18" s="65"/>
      <c r="BA18" s="54"/>
    </row>
    <row r="19" spans="1:59" ht="80.25" customHeight="1">
      <c r="B19" s="227" t="s">
        <v>40</v>
      </c>
      <c r="C19" s="228"/>
      <c r="D19" s="229"/>
      <c r="E19" s="76"/>
      <c r="F19" s="67"/>
      <c r="G19" s="96" t="e">
        <f>F19/E19</f>
        <v>#DIV/0!</v>
      </c>
      <c r="H19" s="72"/>
      <c r="I19" s="67">
        <v>400</v>
      </c>
      <c r="J19" s="96" t="e">
        <f>I19/H19</f>
        <v>#DIV/0!</v>
      </c>
      <c r="K19" s="67"/>
      <c r="L19" s="67">
        <v>800</v>
      </c>
      <c r="M19" s="96" t="e">
        <f>L19/K19</f>
        <v>#DIV/0!</v>
      </c>
      <c r="N19" s="67"/>
      <c r="O19" s="67"/>
      <c r="P19" s="96" t="e">
        <f>O19/N19</f>
        <v>#DIV/0!</v>
      </c>
      <c r="Q19" s="67"/>
      <c r="R19" s="67"/>
      <c r="S19" s="96" t="e">
        <f>R19/Q19</f>
        <v>#DIV/0!</v>
      </c>
      <c r="T19" s="67"/>
      <c r="U19" s="67"/>
      <c r="V19" s="96" t="e">
        <f>U19/T19</f>
        <v>#DIV/0!</v>
      </c>
      <c r="W19" s="67">
        <f t="shared" ref="W19:X22" si="16">E19+H19+K19+N19+Q19+T19</f>
        <v>0</v>
      </c>
      <c r="X19" s="67">
        <f t="shared" si="16"/>
        <v>1200</v>
      </c>
      <c r="Y19" s="96" t="e">
        <f>X19/W19</f>
        <v>#DIV/0!</v>
      </c>
      <c r="Z19" s="67"/>
      <c r="AA19" s="67"/>
      <c r="AB19" s="96" t="e">
        <f>AA19/Z19</f>
        <v>#DIV/0!</v>
      </c>
      <c r="AC19" s="67"/>
      <c r="AD19" s="67"/>
      <c r="AE19" s="96" t="e">
        <f>AD19/AC19</f>
        <v>#DIV/0!</v>
      </c>
      <c r="AF19" s="67"/>
      <c r="AG19" s="67"/>
      <c r="AH19" s="96" t="e">
        <f>AG19/AF19</f>
        <v>#DIV/0!</v>
      </c>
      <c r="AI19" s="67"/>
      <c r="AJ19" s="67"/>
      <c r="AK19" s="96" t="e">
        <f>AJ19/AI19</f>
        <v>#DIV/0!</v>
      </c>
      <c r="AL19" s="67"/>
      <c r="AM19" s="67"/>
      <c r="AN19" s="96" t="e">
        <f>AM19/AL19</f>
        <v>#DIV/0!</v>
      </c>
      <c r="AO19" s="67"/>
      <c r="AP19" s="67"/>
      <c r="AQ19" s="96" t="e">
        <f>AP19/AO19</f>
        <v>#DIV/0!</v>
      </c>
      <c r="AR19" s="67">
        <f t="shared" ref="AR19:AS22" si="17">Z19+AC19+AF19+AI19+AL19+AO19</f>
        <v>0</v>
      </c>
      <c r="AS19" s="67">
        <f t="shared" si="17"/>
        <v>0</v>
      </c>
      <c r="AT19" s="96" t="e">
        <f>AS19/AR19</f>
        <v>#DIV/0!</v>
      </c>
      <c r="AU19" s="67">
        <f t="shared" ref="AU19:AV22" si="18">W19+AR19</f>
        <v>0</v>
      </c>
      <c r="AV19" s="67">
        <f t="shared" si="18"/>
        <v>1200</v>
      </c>
      <c r="AW19" s="101" t="e">
        <f>AV19/AU19</f>
        <v>#DIV/0!</v>
      </c>
      <c r="AX19" s="65"/>
      <c r="AY19" s="65"/>
      <c r="BA19" s="54"/>
    </row>
    <row r="20" spans="1:59" ht="80.25" customHeight="1">
      <c r="B20" s="207" t="s">
        <v>41</v>
      </c>
      <c r="C20" s="208"/>
      <c r="D20" s="209"/>
      <c r="E20" s="79">
        <v>3000</v>
      </c>
      <c r="F20" s="67">
        <v>800</v>
      </c>
      <c r="G20" s="96">
        <f>F20/E20</f>
        <v>0.26666666666666666</v>
      </c>
      <c r="H20" s="75">
        <v>3000</v>
      </c>
      <c r="I20" s="67">
        <v>2400</v>
      </c>
      <c r="J20" s="96">
        <f>I20/H20</f>
        <v>0.8</v>
      </c>
      <c r="K20" s="70">
        <v>3000</v>
      </c>
      <c r="L20" s="67">
        <v>2400</v>
      </c>
      <c r="M20" s="96">
        <f>L20/K20</f>
        <v>0.8</v>
      </c>
      <c r="N20" s="70">
        <v>3000</v>
      </c>
      <c r="O20" s="69"/>
      <c r="P20" s="96">
        <f>O20/N20</f>
        <v>0</v>
      </c>
      <c r="Q20" s="70">
        <v>3000</v>
      </c>
      <c r="R20" s="67"/>
      <c r="S20" s="96">
        <f>R20/Q20</f>
        <v>0</v>
      </c>
      <c r="T20" s="70">
        <v>3000</v>
      </c>
      <c r="U20" s="67"/>
      <c r="V20" s="96">
        <f>U20/T20</f>
        <v>0</v>
      </c>
      <c r="W20" s="67">
        <f t="shared" si="16"/>
        <v>18000</v>
      </c>
      <c r="X20" s="67">
        <f t="shared" si="16"/>
        <v>5600</v>
      </c>
      <c r="Y20" s="96">
        <f>X20/W20</f>
        <v>0.31111111111111112</v>
      </c>
      <c r="Z20" s="70">
        <v>3000</v>
      </c>
      <c r="AA20" s="67"/>
      <c r="AB20" s="96">
        <f>AA20/Z20</f>
        <v>0</v>
      </c>
      <c r="AC20" s="70">
        <v>3000</v>
      </c>
      <c r="AD20" s="67"/>
      <c r="AE20" s="96">
        <f>AD20/AC20</f>
        <v>0</v>
      </c>
      <c r="AF20" s="70">
        <v>3000</v>
      </c>
      <c r="AG20" s="67"/>
      <c r="AH20" s="96">
        <f>AG20/AF20</f>
        <v>0</v>
      </c>
      <c r="AI20" s="70">
        <v>3000</v>
      </c>
      <c r="AJ20" s="67"/>
      <c r="AK20" s="96">
        <f>AJ20/AI20</f>
        <v>0</v>
      </c>
      <c r="AL20" s="70">
        <v>3000</v>
      </c>
      <c r="AM20" s="67"/>
      <c r="AN20" s="96">
        <f>AM20/AL20</f>
        <v>0</v>
      </c>
      <c r="AO20" s="70">
        <v>3000</v>
      </c>
      <c r="AP20" s="67"/>
      <c r="AQ20" s="96">
        <f>AP20/AO20</f>
        <v>0</v>
      </c>
      <c r="AR20" s="67">
        <f t="shared" si="17"/>
        <v>18000</v>
      </c>
      <c r="AS20" s="67">
        <f t="shared" si="17"/>
        <v>0</v>
      </c>
      <c r="AT20" s="96">
        <f>AS20/AR20</f>
        <v>0</v>
      </c>
      <c r="AU20" s="67">
        <f t="shared" si="18"/>
        <v>36000</v>
      </c>
      <c r="AV20" s="67">
        <f t="shared" si="18"/>
        <v>5600</v>
      </c>
      <c r="AW20" s="101">
        <f>AV20/AU20</f>
        <v>0.15555555555555556</v>
      </c>
      <c r="AX20" s="65"/>
      <c r="AY20" s="65"/>
      <c r="BA20" s="54"/>
    </row>
    <row r="21" spans="1:59" ht="80.25" customHeight="1">
      <c r="B21" s="201" t="s">
        <v>38</v>
      </c>
      <c r="C21" s="202"/>
      <c r="D21" s="203"/>
      <c r="E21" s="76"/>
      <c r="F21" s="67">
        <v>720</v>
      </c>
      <c r="G21" s="96" t="e">
        <f>F21/E21</f>
        <v>#DIV/0!</v>
      </c>
      <c r="H21" s="72"/>
      <c r="I21" s="67">
        <v>390</v>
      </c>
      <c r="J21" s="96" t="e">
        <f>I21/H21</f>
        <v>#DIV/0!</v>
      </c>
      <c r="K21" s="67"/>
      <c r="L21" s="67">
        <v>450</v>
      </c>
      <c r="M21" s="96" t="e">
        <f>L21/K21</f>
        <v>#DIV/0!</v>
      </c>
      <c r="N21" s="67"/>
      <c r="O21" s="67"/>
      <c r="P21" s="96" t="e">
        <f>O21/N21</f>
        <v>#DIV/0!</v>
      </c>
      <c r="Q21" s="67"/>
      <c r="R21" s="67"/>
      <c r="S21" s="96" t="e">
        <f>R21/Q21</f>
        <v>#DIV/0!</v>
      </c>
      <c r="T21" s="67"/>
      <c r="U21" s="67"/>
      <c r="V21" s="96" t="e">
        <f>U21/T21</f>
        <v>#DIV/0!</v>
      </c>
      <c r="W21" s="67">
        <f t="shared" si="16"/>
        <v>0</v>
      </c>
      <c r="X21" s="67">
        <f t="shared" si="16"/>
        <v>1560</v>
      </c>
      <c r="Y21" s="96" t="e">
        <f>X21/W21</f>
        <v>#DIV/0!</v>
      </c>
      <c r="Z21" s="67"/>
      <c r="AA21" s="67"/>
      <c r="AB21" s="96" t="e">
        <f>AA21/Z21</f>
        <v>#DIV/0!</v>
      </c>
      <c r="AC21" s="67"/>
      <c r="AD21" s="67"/>
      <c r="AE21" s="96" t="e">
        <f>AD21/AC21</f>
        <v>#DIV/0!</v>
      </c>
      <c r="AF21" s="67"/>
      <c r="AG21" s="67"/>
      <c r="AH21" s="96" t="e">
        <f>AG21/AF21</f>
        <v>#DIV/0!</v>
      </c>
      <c r="AI21" s="67"/>
      <c r="AJ21" s="67"/>
      <c r="AK21" s="96" t="e">
        <f>AJ21/AI21</f>
        <v>#DIV/0!</v>
      </c>
      <c r="AL21" s="67"/>
      <c r="AM21" s="67"/>
      <c r="AN21" s="96" t="e">
        <f>AM21/AL21</f>
        <v>#DIV/0!</v>
      </c>
      <c r="AO21" s="67"/>
      <c r="AP21" s="67"/>
      <c r="AQ21" s="96" t="e">
        <f>AP21/AO21</f>
        <v>#DIV/0!</v>
      </c>
      <c r="AR21" s="67">
        <f t="shared" si="17"/>
        <v>0</v>
      </c>
      <c r="AS21" s="67">
        <f t="shared" si="17"/>
        <v>0</v>
      </c>
      <c r="AT21" s="96" t="e">
        <f>AS21/AR21</f>
        <v>#DIV/0!</v>
      </c>
      <c r="AU21" s="67">
        <f t="shared" si="18"/>
        <v>0</v>
      </c>
      <c r="AV21" s="67">
        <f t="shared" si="18"/>
        <v>1560</v>
      </c>
      <c r="AW21" s="101" t="e">
        <f>AV21/AU21</f>
        <v>#DIV/0!</v>
      </c>
      <c r="AX21" s="65"/>
      <c r="AY21" s="65"/>
      <c r="BA21" s="54"/>
    </row>
    <row r="22" spans="1:59" ht="80.25" customHeight="1">
      <c r="B22" s="230" t="s">
        <v>37</v>
      </c>
      <c r="C22" s="231"/>
      <c r="D22" s="232"/>
      <c r="E22" s="76">
        <v>1500</v>
      </c>
      <c r="F22" s="67">
        <v>1550</v>
      </c>
      <c r="G22" s="96">
        <f>F22/E22</f>
        <v>1.0333333333333334</v>
      </c>
      <c r="H22" s="72">
        <v>1500</v>
      </c>
      <c r="I22" s="67">
        <v>1630</v>
      </c>
      <c r="J22" s="96">
        <f>I22/H22</f>
        <v>1.0866666666666667</v>
      </c>
      <c r="K22" s="67">
        <v>1500</v>
      </c>
      <c r="L22" s="67">
        <v>1760</v>
      </c>
      <c r="M22" s="96">
        <f>L22/K22</f>
        <v>1.1733333333333333</v>
      </c>
      <c r="N22" s="67">
        <v>1500</v>
      </c>
      <c r="O22" s="67"/>
      <c r="P22" s="96">
        <f>O22/N22</f>
        <v>0</v>
      </c>
      <c r="Q22" s="67">
        <v>1500</v>
      </c>
      <c r="R22" s="67"/>
      <c r="S22" s="96">
        <f>R22/Q22</f>
        <v>0</v>
      </c>
      <c r="T22" s="67">
        <v>1500</v>
      </c>
      <c r="U22" s="67"/>
      <c r="V22" s="96">
        <f>U22/T22</f>
        <v>0</v>
      </c>
      <c r="W22" s="67">
        <f t="shared" si="16"/>
        <v>9000</v>
      </c>
      <c r="X22" s="67">
        <f t="shared" si="16"/>
        <v>4940</v>
      </c>
      <c r="Y22" s="96">
        <f>X22/W22</f>
        <v>0.54888888888888887</v>
      </c>
      <c r="Z22" s="67">
        <v>1500</v>
      </c>
      <c r="AA22" s="67"/>
      <c r="AB22" s="96">
        <f>AA22/Z22</f>
        <v>0</v>
      </c>
      <c r="AC22" s="67">
        <v>1500</v>
      </c>
      <c r="AD22" s="67"/>
      <c r="AE22" s="96">
        <f>AD22/AC22</f>
        <v>0</v>
      </c>
      <c r="AF22" s="67">
        <v>1500</v>
      </c>
      <c r="AG22" s="67"/>
      <c r="AH22" s="96">
        <f>AG22/AF22</f>
        <v>0</v>
      </c>
      <c r="AI22" s="67">
        <v>1500</v>
      </c>
      <c r="AJ22" s="67"/>
      <c r="AK22" s="96">
        <f>AJ22/AI22</f>
        <v>0</v>
      </c>
      <c r="AL22" s="67">
        <v>1500</v>
      </c>
      <c r="AM22" s="67"/>
      <c r="AN22" s="96">
        <f>AM22/AL22</f>
        <v>0</v>
      </c>
      <c r="AO22" s="67">
        <v>1500</v>
      </c>
      <c r="AP22" s="67"/>
      <c r="AQ22" s="96">
        <f>AP22/AO22</f>
        <v>0</v>
      </c>
      <c r="AR22" s="67">
        <f t="shared" si="17"/>
        <v>9000</v>
      </c>
      <c r="AS22" s="67">
        <f t="shared" si="17"/>
        <v>0</v>
      </c>
      <c r="AT22" s="96">
        <f>AS22/AR22</f>
        <v>0</v>
      </c>
      <c r="AU22" s="67">
        <f t="shared" si="18"/>
        <v>18000</v>
      </c>
      <c r="AV22" s="67">
        <f t="shared" si="18"/>
        <v>4940</v>
      </c>
      <c r="AW22" s="101">
        <f>AV22/AU22</f>
        <v>0.27444444444444444</v>
      </c>
      <c r="AX22" s="65"/>
      <c r="AY22" s="65"/>
      <c r="BA22" s="54"/>
    </row>
    <row r="23" spans="1:59" ht="104" customHeight="1">
      <c r="B23" s="247" t="s">
        <v>15</v>
      </c>
      <c r="C23" s="248"/>
      <c r="D23" s="249"/>
      <c r="E23" s="102">
        <f>SUM(E19:E22)</f>
        <v>4500</v>
      </c>
      <c r="F23" s="94">
        <f t="shared" ref="F23:AV23" si="19">SUM(F19:F22)</f>
        <v>3070</v>
      </c>
      <c r="G23" s="91">
        <f>F23/E23</f>
        <v>0.68222222222222217</v>
      </c>
      <c r="H23" s="85">
        <f t="shared" si="19"/>
        <v>4500</v>
      </c>
      <c r="I23" s="86">
        <f t="shared" si="19"/>
        <v>4820</v>
      </c>
      <c r="J23" s="91">
        <f>I23/H23</f>
        <v>1.0711111111111111</v>
      </c>
      <c r="K23" s="86">
        <f t="shared" si="19"/>
        <v>4500</v>
      </c>
      <c r="L23" s="86">
        <f t="shared" si="19"/>
        <v>5410</v>
      </c>
      <c r="M23" s="91">
        <f>L23/K23</f>
        <v>1.2022222222222223</v>
      </c>
      <c r="N23" s="86">
        <f t="shared" si="19"/>
        <v>4500</v>
      </c>
      <c r="O23" s="90">
        <f t="shared" si="19"/>
        <v>0</v>
      </c>
      <c r="P23" s="91">
        <f>O23/N23</f>
        <v>0</v>
      </c>
      <c r="Q23" s="90">
        <f t="shared" si="19"/>
        <v>4500</v>
      </c>
      <c r="R23" s="86">
        <f t="shared" si="19"/>
        <v>0</v>
      </c>
      <c r="S23" s="91">
        <f>R23/Q23</f>
        <v>0</v>
      </c>
      <c r="T23" s="103">
        <f t="shared" si="19"/>
        <v>4500</v>
      </c>
      <c r="U23" s="86">
        <f t="shared" si="19"/>
        <v>0</v>
      </c>
      <c r="V23" s="91">
        <f>U23/T23</f>
        <v>0</v>
      </c>
      <c r="W23" s="85">
        <f t="shared" si="19"/>
        <v>27000</v>
      </c>
      <c r="X23" s="86">
        <f t="shared" si="19"/>
        <v>13300</v>
      </c>
      <c r="Y23" s="104">
        <f>X23/W23</f>
        <v>0.49259259259259258</v>
      </c>
      <c r="Z23" s="86">
        <f t="shared" si="19"/>
        <v>4500</v>
      </c>
      <c r="AA23" s="86">
        <f t="shared" ref="AA23" si="20">SUM(AA19:AA22)</f>
        <v>0</v>
      </c>
      <c r="AB23" s="91">
        <f>AA23/Z23</f>
        <v>0</v>
      </c>
      <c r="AC23" s="86">
        <f t="shared" si="19"/>
        <v>4500</v>
      </c>
      <c r="AD23" s="86">
        <f t="shared" si="19"/>
        <v>0</v>
      </c>
      <c r="AE23" s="91">
        <f>AD23/AC23</f>
        <v>0</v>
      </c>
      <c r="AF23" s="86">
        <f t="shared" si="19"/>
        <v>4500</v>
      </c>
      <c r="AG23" s="86">
        <f t="shared" ref="AG23" si="21">SUM(AG19:AG22)</f>
        <v>0</v>
      </c>
      <c r="AH23" s="91">
        <f>AG23/AF23</f>
        <v>0</v>
      </c>
      <c r="AI23" s="86">
        <f t="shared" si="19"/>
        <v>4500</v>
      </c>
      <c r="AJ23" s="86">
        <f t="shared" si="19"/>
        <v>0</v>
      </c>
      <c r="AK23" s="91">
        <f>AJ23/AI23</f>
        <v>0</v>
      </c>
      <c r="AL23" s="86">
        <f t="shared" si="19"/>
        <v>4500</v>
      </c>
      <c r="AM23" s="86">
        <f t="shared" ref="AM23" si="22">SUM(AM19:AM22)</f>
        <v>0</v>
      </c>
      <c r="AN23" s="91">
        <f>AM23/AL23</f>
        <v>0</v>
      </c>
      <c r="AO23" s="86">
        <f t="shared" si="19"/>
        <v>4500</v>
      </c>
      <c r="AP23" s="86">
        <f t="shared" si="19"/>
        <v>0</v>
      </c>
      <c r="AQ23" s="91">
        <f>AP23/AO23</f>
        <v>0</v>
      </c>
      <c r="AR23" s="86">
        <f>SUM(AR19:AR22)</f>
        <v>27000</v>
      </c>
      <c r="AS23" s="86">
        <f t="shared" ref="AS23" si="23">SUM(AS19:AS22)</f>
        <v>0</v>
      </c>
      <c r="AT23" s="104">
        <f>AS23/AR23</f>
        <v>0</v>
      </c>
      <c r="AU23" s="86">
        <f t="shared" si="19"/>
        <v>54000</v>
      </c>
      <c r="AV23" s="86">
        <f t="shared" si="19"/>
        <v>13300</v>
      </c>
      <c r="AW23" s="105">
        <f>AV23/AU23</f>
        <v>0.24629629629629629</v>
      </c>
    </row>
    <row r="24" spans="1:59" s="63" customFormat="1" ht="141.75" customHeight="1">
      <c r="A24" s="64"/>
      <c r="O24" s="83"/>
      <c r="AU24" s="87"/>
      <c r="AV24" s="87"/>
      <c r="AW24" s="87"/>
    </row>
    <row r="25" spans="1:59" ht="80.25" customHeight="1">
      <c r="B25" s="80"/>
      <c r="C25" s="80"/>
      <c r="D25" s="80"/>
      <c r="E25" s="220"/>
      <c r="F25" s="220"/>
      <c r="G25" s="80"/>
      <c r="H25" s="80"/>
      <c r="I25" s="80"/>
      <c r="J25" s="80"/>
      <c r="K25" s="80"/>
      <c r="L25" s="80"/>
      <c r="M25" s="80"/>
      <c r="N25" s="80"/>
      <c r="O25" s="80"/>
      <c r="P25" s="80"/>
      <c r="Q25" s="80"/>
      <c r="R25" s="80"/>
      <c r="S25" s="80"/>
      <c r="T25" s="80"/>
      <c r="U25" s="80"/>
      <c r="V25" s="80"/>
      <c r="W25" s="80"/>
      <c r="X25" s="80"/>
      <c r="Y25" s="80"/>
      <c r="Z25" s="80"/>
      <c r="AA25" s="80"/>
      <c r="AB25" s="80"/>
      <c r="AC25" s="80"/>
      <c r="AD25" s="80"/>
      <c r="AE25" s="80"/>
      <c r="AF25" s="80"/>
      <c r="AG25" s="80"/>
      <c r="AH25" s="80"/>
      <c r="AI25" s="80"/>
      <c r="AJ25" s="80"/>
      <c r="AK25" s="80"/>
      <c r="AL25" s="80"/>
      <c r="AM25" s="80"/>
      <c r="AN25" s="80"/>
      <c r="AO25" s="80"/>
      <c r="AP25" s="80"/>
      <c r="AQ25" s="80"/>
      <c r="AR25" s="80"/>
      <c r="AS25" s="80"/>
      <c r="AT25" s="80"/>
      <c r="AU25" s="80"/>
      <c r="AV25" s="80"/>
      <c r="AW25" s="80"/>
    </row>
    <row r="26" spans="1:59" s="58" customFormat="1" ht="20.25" customHeight="1">
      <c r="A26" s="54"/>
      <c r="B26" s="55"/>
      <c r="E26" s="65"/>
      <c r="F26" s="65"/>
      <c r="G26" s="65"/>
      <c r="H26" s="65"/>
      <c r="I26" s="57"/>
      <c r="J26" s="65"/>
      <c r="K26" s="57"/>
      <c r="L26" s="65"/>
      <c r="M26" s="65"/>
      <c r="N26" s="65"/>
      <c r="O26" s="65"/>
      <c r="P26" s="65"/>
      <c r="Q26" s="65"/>
      <c r="R26" s="65"/>
      <c r="S26" s="65"/>
      <c r="T26" s="65"/>
      <c r="U26" s="65"/>
      <c r="V26" s="65"/>
      <c r="W26" s="65"/>
      <c r="X26" s="65"/>
      <c r="Y26" s="57"/>
      <c r="Z26" s="65"/>
      <c r="AA26" s="65"/>
      <c r="AB26" s="65"/>
      <c r="AC26" s="65"/>
      <c r="AD26" s="57"/>
      <c r="AE26" s="65"/>
      <c r="AF26" s="57"/>
      <c r="AG26" s="65"/>
      <c r="AH26" s="65"/>
      <c r="AI26" s="65"/>
      <c r="AJ26" s="65"/>
      <c r="AK26" s="65"/>
      <c r="AL26" s="65"/>
      <c r="AM26" s="65"/>
      <c r="AN26" s="65"/>
      <c r="AO26" s="65"/>
      <c r="AP26" s="65"/>
      <c r="AQ26" s="65"/>
      <c r="AR26" s="65"/>
      <c r="AS26" s="65"/>
      <c r="AT26" s="57"/>
      <c r="AU26" s="65"/>
      <c r="AV26" s="65"/>
      <c r="AW26" s="66"/>
      <c r="BB26" s="59"/>
      <c r="BC26" s="59"/>
      <c r="BD26" s="59"/>
      <c r="BE26" s="59"/>
      <c r="BF26" s="59"/>
      <c r="BG26" s="59"/>
    </row>
    <row r="27" spans="1:59" s="58" customFormat="1" ht="20.25" customHeight="1">
      <c r="A27" s="54"/>
      <c r="B27" s="55"/>
      <c r="E27" s="65"/>
      <c r="F27" s="65"/>
      <c r="G27" s="65"/>
      <c r="H27" s="65"/>
      <c r="I27" s="57"/>
      <c r="J27" s="65"/>
      <c r="K27" s="57"/>
      <c r="L27" s="65"/>
      <c r="M27" s="65"/>
      <c r="N27" s="65"/>
      <c r="O27" s="65"/>
      <c r="P27" s="65"/>
      <c r="Q27" s="65"/>
      <c r="R27" s="65"/>
      <c r="S27" s="65"/>
      <c r="T27" s="65"/>
      <c r="U27" s="65"/>
      <c r="V27" s="65"/>
      <c r="W27" s="65"/>
      <c r="X27" s="65"/>
      <c r="Y27" s="57"/>
      <c r="Z27" s="65"/>
      <c r="AA27" s="65"/>
      <c r="AB27" s="65"/>
      <c r="AC27" s="65"/>
      <c r="AD27" s="57"/>
      <c r="AE27" s="65"/>
      <c r="AF27" s="57"/>
      <c r="AG27" s="65"/>
      <c r="AH27" s="65"/>
      <c r="AI27" s="65"/>
      <c r="AJ27" s="65"/>
      <c r="AK27" s="65"/>
      <c r="AL27" s="65"/>
      <c r="AM27" s="65"/>
      <c r="AN27" s="65"/>
      <c r="AO27" s="65"/>
      <c r="AP27" s="65"/>
      <c r="AQ27" s="65"/>
      <c r="AR27" s="65"/>
      <c r="AS27" s="65"/>
      <c r="AT27" s="57"/>
      <c r="AU27" s="65"/>
      <c r="AV27" s="65"/>
      <c r="AW27" s="66"/>
      <c r="BB27" s="59"/>
      <c r="BC27" s="59"/>
      <c r="BD27" s="59"/>
      <c r="BE27" s="59"/>
      <c r="BF27" s="59"/>
      <c r="BG27" s="59"/>
    </row>
    <row r="28" spans="1:59" s="58" customFormat="1" ht="20.25" customHeight="1">
      <c r="A28" s="54"/>
      <c r="B28" s="55"/>
      <c r="E28" s="65"/>
      <c r="F28" s="65"/>
      <c r="G28" s="65"/>
      <c r="H28" s="65"/>
      <c r="I28" s="57"/>
      <c r="J28" s="65"/>
      <c r="K28" s="57"/>
      <c r="L28" s="57"/>
      <c r="M28" s="65"/>
      <c r="N28" s="57"/>
      <c r="O28" s="57"/>
      <c r="P28" s="65"/>
      <c r="Q28" s="57"/>
      <c r="R28" s="57"/>
      <c r="S28" s="65"/>
      <c r="T28" s="57"/>
      <c r="U28" s="57"/>
      <c r="V28" s="65"/>
      <c r="W28" s="57"/>
      <c r="X28" s="57"/>
      <c r="Y28" s="57"/>
      <c r="Z28" s="65"/>
      <c r="AA28" s="65"/>
      <c r="AB28" s="65"/>
      <c r="AC28" s="65"/>
      <c r="AD28" s="57"/>
      <c r="AE28" s="65"/>
      <c r="AF28" s="57"/>
      <c r="AG28" s="57"/>
      <c r="AH28" s="65"/>
      <c r="AI28" s="57"/>
      <c r="AJ28" s="57"/>
      <c r="AK28" s="65"/>
      <c r="AL28" s="57"/>
      <c r="AM28" s="57"/>
      <c r="AN28" s="65"/>
      <c r="AO28" s="57"/>
      <c r="AP28" s="57"/>
      <c r="AQ28" s="65"/>
      <c r="AR28" s="57"/>
      <c r="AS28" s="57"/>
      <c r="AT28" s="57"/>
      <c r="AU28" s="57"/>
      <c r="AV28" s="57"/>
      <c r="AW28" s="66"/>
      <c r="BB28" s="59"/>
      <c r="BC28" s="59"/>
      <c r="BD28" s="59"/>
      <c r="BE28" s="59"/>
      <c r="BF28" s="59"/>
      <c r="BG28" s="59"/>
    </row>
    <row r="29" spans="1:59" s="58" customFormat="1" ht="20.25" customHeight="1">
      <c r="A29" s="54"/>
      <c r="B29" s="55"/>
      <c r="C29" s="56"/>
      <c r="D29" s="56"/>
      <c r="E29" s="57"/>
      <c r="F29" s="57"/>
      <c r="G29" s="57"/>
      <c r="H29" s="57"/>
      <c r="I29" s="57"/>
      <c r="J29" s="57"/>
      <c r="K29" s="57"/>
      <c r="L29" s="57"/>
      <c r="M29" s="57"/>
      <c r="N29" s="57"/>
      <c r="O29" s="57"/>
      <c r="P29" s="57"/>
      <c r="Q29" s="57"/>
      <c r="R29" s="57"/>
      <c r="S29" s="57"/>
      <c r="T29" s="57"/>
      <c r="U29" s="57"/>
      <c r="V29" s="57"/>
      <c r="W29" s="57"/>
      <c r="X29" s="57"/>
      <c r="Y29" s="57"/>
      <c r="Z29" s="57"/>
      <c r="AA29" s="57"/>
      <c r="AB29" s="57"/>
      <c r="AC29" s="57"/>
      <c r="AD29" s="57"/>
      <c r="AE29" s="57"/>
      <c r="AF29" s="57"/>
      <c r="AG29" s="57"/>
      <c r="AH29" s="57"/>
      <c r="AI29" s="57"/>
      <c r="AJ29" s="57"/>
      <c r="AK29" s="57"/>
      <c r="AL29" s="57"/>
      <c r="AM29" s="57"/>
      <c r="AN29" s="57"/>
      <c r="AO29" s="57"/>
      <c r="AP29" s="57"/>
      <c r="AQ29" s="57"/>
      <c r="AR29" s="57"/>
      <c r="AS29" s="57"/>
      <c r="AT29" s="57"/>
      <c r="AU29" s="57"/>
      <c r="AV29" s="57"/>
      <c r="AW29" s="66"/>
      <c r="BB29" s="59"/>
      <c r="BC29" s="59"/>
      <c r="BD29" s="59"/>
      <c r="BE29" s="59"/>
      <c r="BF29" s="59"/>
      <c r="BG29" s="59"/>
    </row>
    <row r="30" spans="1:59" s="58" customFormat="1" ht="20.25" customHeight="1">
      <c r="A30" s="54"/>
      <c r="B30" s="55"/>
      <c r="C30" s="56"/>
      <c r="D30" s="56"/>
      <c r="E30" s="57"/>
      <c r="F30" s="57"/>
      <c r="G30" s="57"/>
      <c r="H30" s="57"/>
      <c r="I30" s="57"/>
      <c r="J30" s="57"/>
      <c r="K30" s="57"/>
      <c r="L30" s="65"/>
      <c r="M30" s="57"/>
      <c r="N30" s="57"/>
      <c r="O30" s="57"/>
      <c r="P30" s="57"/>
      <c r="Q30" s="57"/>
      <c r="R30" s="57"/>
      <c r="S30" s="57"/>
      <c r="T30" s="57"/>
      <c r="U30" s="57"/>
      <c r="V30" s="57"/>
      <c r="W30" s="57"/>
      <c r="X30" s="57"/>
      <c r="Y30" s="57"/>
      <c r="Z30" s="57"/>
      <c r="AA30" s="57"/>
      <c r="AB30" s="57"/>
      <c r="AC30" s="57"/>
      <c r="AD30" s="57"/>
      <c r="AE30" s="57"/>
      <c r="AF30" s="57"/>
      <c r="AG30" s="65"/>
      <c r="AH30" s="57"/>
      <c r="AI30" s="57"/>
      <c r="AJ30" s="57"/>
      <c r="AK30" s="57"/>
      <c r="AL30" s="57"/>
      <c r="AM30" s="57"/>
      <c r="AN30" s="57"/>
      <c r="AO30" s="57"/>
      <c r="AP30" s="57"/>
      <c r="AQ30" s="57"/>
      <c r="AR30" s="57"/>
      <c r="AS30" s="57"/>
      <c r="AT30" s="57"/>
      <c r="AU30" s="57"/>
      <c r="AV30" s="57"/>
      <c r="AW30" s="66"/>
      <c r="BB30" s="59"/>
      <c r="BC30" s="59"/>
      <c r="BD30" s="59"/>
      <c r="BE30" s="59"/>
      <c r="BF30" s="59"/>
      <c r="BG30" s="59"/>
    </row>
    <row r="31" spans="1:59" s="58" customFormat="1" ht="20.25" customHeight="1">
      <c r="A31" s="54"/>
      <c r="B31" s="55"/>
      <c r="C31" s="56"/>
      <c r="D31" s="56"/>
      <c r="E31" s="57"/>
      <c r="F31" s="57"/>
      <c r="G31" s="57"/>
      <c r="H31" s="57"/>
      <c r="I31" s="57"/>
      <c r="J31" s="57"/>
      <c r="K31" s="57"/>
      <c r="L31" s="57"/>
      <c r="M31" s="57"/>
      <c r="N31" s="57"/>
      <c r="O31" s="57"/>
      <c r="P31" s="57"/>
      <c r="Q31" s="57"/>
      <c r="R31" s="57"/>
      <c r="S31" s="57"/>
      <c r="T31" s="57"/>
      <c r="U31" s="57"/>
      <c r="V31" s="57"/>
      <c r="W31" s="57"/>
      <c r="X31" s="57"/>
      <c r="Y31" s="57"/>
      <c r="Z31" s="57"/>
      <c r="AA31" s="57"/>
      <c r="AB31" s="57"/>
      <c r="AC31" s="57"/>
      <c r="AD31" s="57"/>
      <c r="AE31" s="57"/>
      <c r="AF31" s="57"/>
      <c r="AG31" s="57"/>
      <c r="AH31" s="57"/>
      <c r="AI31" s="57"/>
      <c r="AJ31" s="57"/>
      <c r="AK31" s="57"/>
      <c r="AL31" s="57"/>
      <c r="AM31" s="57"/>
      <c r="AN31" s="57"/>
      <c r="AO31" s="57"/>
      <c r="AP31" s="57"/>
      <c r="AQ31" s="57"/>
      <c r="AR31" s="57"/>
      <c r="AS31" s="57"/>
      <c r="AT31" s="57"/>
      <c r="AU31" s="57"/>
      <c r="AV31" s="57"/>
      <c r="AW31" s="66"/>
      <c r="BB31" s="59"/>
      <c r="BC31" s="59"/>
      <c r="BD31" s="59"/>
      <c r="BE31" s="59"/>
      <c r="BF31" s="59"/>
      <c r="BG31" s="59"/>
    </row>
    <row r="32" spans="1:59" s="58" customFormat="1" ht="20.25" customHeight="1">
      <c r="A32" s="54"/>
      <c r="B32" s="55"/>
      <c r="C32" s="56"/>
      <c r="D32" s="56"/>
      <c r="E32" s="57"/>
      <c r="F32" s="57"/>
      <c r="G32" s="57"/>
      <c r="H32" s="57"/>
      <c r="I32" s="57"/>
      <c r="J32" s="57"/>
      <c r="K32" s="57"/>
      <c r="L32" s="57"/>
      <c r="M32" s="57"/>
      <c r="N32" s="57"/>
      <c r="O32" s="57"/>
      <c r="P32" s="57"/>
      <c r="Q32" s="57"/>
      <c r="R32" s="57"/>
      <c r="S32" s="57"/>
      <c r="T32" s="57"/>
      <c r="U32" s="57"/>
      <c r="V32" s="57"/>
      <c r="W32" s="57"/>
      <c r="X32" s="57"/>
      <c r="Y32" s="57"/>
      <c r="Z32" s="57"/>
      <c r="AA32" s="57"/>
      <c r="AB32" s="57"/>
      <c r="AC32" s="57"/>
      <c r="AD32" s="57"/>
      <c r="AE32" s="57"/>
      <c r="AF32" s="57"/>
      <c r="AG32" s="57"/>
      <c r="AH32" s="57"/>
      <c r="AI32" s="57"/>
      <c r="AJ32" s="57"/>
      <c r="AK32" s="57"/>
      <c r="AL32" s="57"/>
      <c r="AM32" s="57"/>
      <c r="AN32" s="57"/>
      <c r="AO32" s="57"/>
      <c r="AP32" s="57"/>
      <c r="AQ32" s="57"/>
      <c r="AR32" s="57"/>
      <c r="AS32" s="57"/>
      <c r="AT32" s="57"/>
      <c r="AU32" s="57"/>
      <c r="AV32" s="57"/>
      <c r="AW32" s="66"/>
      <c r="BB32" s="59"/>
      <c r="BC32" s="59"/>
      <c r="BD32" s="59"/>
      <c r="BE32" s="59"/>
      <c r="BF32" s="59"/>
      <c r="BG32" s="59"/>
    </row>
  </sheetData>
  <mergeCells count="44">
    <mergeCell ref="B3:D3"/>
    <mergeCell ref="AY2:AZ2"/>
    <mergeCell ref="AX3:AY3"/>
    <mergeCell ref="AX4:AY4"/>
    <mergeCell ref="A2:D2"/>
    <mergeCell ref="E4:G4"/>
    <mergeCell ref="H4:J4"/>
    <mergeCell ref="K4:M4"/>
    <mergeCell ref="N4:P4"/>
    <mergeCell ref="Q4:S4"/>
    <mergeCell ref="W4:Y4"/>
    <mergeCell ref="AR4:AT4"/>
    <mergeCell ref="AU4:AW4"/>
    <mergeCell ref="T4:V4"/>
    <mergeCell ref="Z4:AB4"/>
    <mergeCell ref="AC4:AE4"/>
    <mergeCell ref="B10:D10"/>
    <mergeCell ref="B12:D12"/>
    <mergeCell ref="B4:D4"/>
    <mergeCell ref="B11:D11"/>
    <mergeCell ref="B5:D5"/>
    <mergeCell ref="B7:D7"/>
    <mergeCell ref="B6:D6"/>
    <mergeCell ref="AF4:AH4"/>
    <mergeCell ref="AI4:AK4"/>
    <mergeCell ref="AL4:AN4"/>
    <mergeCell ref="AO4:AQ4"/>
    <mergeCell ref="E25:F25"/>
    <mergeCell ref="B23:D23"/>
    <mergeCell ref="B18:D18"/>
    <mergeCell ref="B13:D13"/>
    <mergeCell ref="B14:D14"/>
    <mergeCell ref="AX8:AX9"/>
    <mergeCell ref="AX12:AY12"/>
    <mergeCell ref="B22:D22"/>
    <mergeCell ref="AX14:AX16"/>
    <mergeCell ref="B15:D15"/>
    <mergeCell ref="B16:D16"/>
    <mergeCell ref="B17:D17"/>
    <mergeCell ref="B19:D19"/>
    <mergeCell ref="B20:D20"/>
    <mergeCell ref="B21:D21"/>
    <mergeCell ref="B8:D8"/>
    <mergeCell ref="B9:D9"/>
  </mergeCells>
  <phoneticPr fontId="1"/>
  <printOptions horizontalCentered="1"/>
  <pageMargins left="0.39370078740157499" right="0.39370078740157499" top="0.59055118110236204" bottom="0.39370078740157499" header="0.39370078740157499" footer="0.196850393700787"/>
  <pageSetup paperSize="8" scale="21" orientation="landscape" r:id="rId1"/>
  <headerFooter>
    <oddHeader>&amp;R&amp;"HG丸ｺﾞｼｯｸM-PRO,標準"&amp;14ＳＨＣ</oddHeader>
  </headerFooter>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8</vt:i4>
      </vt:variant>
    </vt:vector>
  </HeadingPairs>
  <TitlesOfParts>
    <vt:vector size="17" baseType="lpstr">
      <vt:lpstr>中 計 </vt:lpstr>
      <vt:lpstr>2025年度・上半期と下期 12月05日     </vt:lpstr>
      <vt:lpstr>2025年度・上半期と下期 11月07日    </vt:lpstr>
      <vt:lpstr>2025年度・上半期と下期 10月24日   </vt:lpstr>
      <vt:lpstr>2025年度・上半期と下期 10月03日  </vt:lpstr>
      <vt:lpstr>2025年度・上半期と下期 9月26日  </vt:lpstr>
      <vt:lpstr>2025年度・上半期と下期 ７月25日 </vt:lpstr>
      <vt:lpstr>2025年度・上半期と下期 ７月18日</vt:lpstr>
      <vt:lpstr>2025年度・上半期と下期</vt:lpstr>
      <vt:lpstr>'2025年度・上半期と下期'!Print_Area</vt:lpstr>
      <vt:lpstr>'2025年度・上半期と下期 10月03日  '!Print_Area</vt:lpstr>
      <vt:lpstr>'2025年度・上半期と下期 10月24日   '!Print_Area</vt:lpstr>
      <vt:lpstr>'2025年度・上半期と下期 11月07日    '!Print_Area</vt:lpstr>
      <vt:lpstr>'2025年度・上半期と下期 12月05日     '!Print_Area</vt:lpstr>
      <vt:lpstr>'2025年度・上半期と下期 ７月18日'!Print_Area</vt:lpstr>
      <vt:lpstr>'2025年度・上半期と下期 ７月25日 '!Print_Area</vt:lpstr>
      <vt:lpstr>'2025年度・上半期と下期 9月26日  '!Print_Area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shc093</dc:creator>
  <cp:lastModifiedBy>min min</cp:lastModifiedBy>
  <cp:lastPrinted>2025-12-04T00:49:34Z</cp:lastPrinted>
  <dcterms:created xsi:type="dcterms:W3CDTF">2025-01-24T02:56:13Z</dcterms:created>
  <dcterms:modified xsi:type="dcterms:W3CDTF">2025-12-13T16:58:09Z</dcterms:modified>
</cp:coreProperties>
</file>